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chiers  Phil PC\Spéléo\Topo\Archives\Vercors\"/>
    </mc:Choice>
  </mc:AlternateContent>
  <xr:revisionPtr revIDLastSave="0" documentId="8_{F32151DE-EC34-4302-B55C-F82EC0D088F2}" xr6:coauthVersionLast="47" xr6:coauthVersionMax="47" xr10:uidLastSave="{00000000-0000-0000-0000-000000000000}"/>
  <bookViews>
    <workbookView xWindow="3840" yWindow="2592" windowWidth="18936" windowHeight="14688"/>
  </bookViews>
  <sheets>
    <sheet name="Combe Oursière n° 24" sheetId="1" r:id="rId1"/>
  </sheets>
  <calcPr calcId="0"/>
</workbook>
</file>

<file path=xl/calcChain.xml><?xml version="1.0" encoding="utf-8"?>
<calcChain xmlns="http://schemas.openxmlformats.org/spreadsheetml/2006/main">
  <c r="A13" i="1" l="1"/>
  <c r="I13" i="1"/>
  <c r="M13" i="1" s="1"/>
  <c r="J13" i="1"/>
  <c r="Q13" i="1" s="1"/>
  <c r="A14" i="1"/>
  <c r="B14" i="1"/>
  <c r="I14" i="1"/>
  <c r="M14" i="1" s="1"/>
  <c r="J14" i="1"/>
  <c r="Q14" i="1" s="1"/>
  <c r="L14" i="1"/>
  <c r="T8" i="1" s="1"/>
  <c r="T9" i="1" s="1"/>
  <c r="A15" i="1"/>
  <c r="B15" i="1"/>
  <c r="D15" i="1"/>
  <c r="L15" i="1" s="1"/>
  <c r="I15" i="1"/>
  <c r="J15" i="1"/>
  <c r="A16" i="1"/>
  <c r="B16" i="1" s="1"/>
  <c r="A17" i="1" s="1"/>
  <c r="B17" i="1" s="1"/>
  <c r="A18" i="1" s="1"/>
  <c r="B18" i="1" s="1"/>
  <c r="A19" i="1" s="1"/>
  <c r="B19" i="1" s="1"/>
  <c r="A20" i="1" s="1"/>
  <c r="B20" i="1" s="1"/>
  <c r="A21" i="1" s="1"/>
  <c r="B21" i="1" s="1"/>
  <c r="I16" i="1"/>
  <c r="M16" i="1" s="1"/>
  <c r="J16" i="1"/>
  <c r="I17" i="1"/>
  <c r="M17" i="1" s="1"/>
  <c r="J17" i="1"/>
  <c r="I18" i="1"/>
  <c r="M18" i="1" s="1"/>
  <c r="J18" i="1"/>
  <c r="I19" i="1"/>
  <c r="M19" i="1" s="1"/>
  <c r="J19" i="1"/>
  <c r="I20" i="1"/>
  <c r="M20" i="1" s="1"/>
  <c r="J20" i="1"/>
  <c r="L20" i="1"/>
  <c r="D21" i="1"/>
  <c r="L21" i="1" s="1"/>
  <c r="I21" i="1"/>
  <c r="J21" i="1"/>
  <c r="Q16" i="1" l="1"/>
  <c r="Q17" i="1" s="1"/>
  <c r="Q18" i="1" s="1"/>
  <c r="Q19" i="1" s="1"/>
  <c r="Q20" i="1" s="1"/>
  <c r="Q21" i="1" s="1"/>
  <c r="M15" i="1"/>
  <c r="Q15" i="1"/>
  <c r="P13" i="1"/>
  <c r="P14" i="1" s="1"/>
  <c r="O13" i="1"/>
  <c r="O14" i="1" s="1"/>
  <c r="M21" i="1"/>
  <c r="O15" i="1" l="1"/>
  <c r="O16" i="1" s="1"/>
  <c r="O17" i="1" s="1"/>
  <c r="O18" i="1" s="1"/>
  <c r="O19" i="1" s="1"/>
  <c r="O20" i="1" s="1"/>
  <c r="O21" i="1" s="1"/>
  <c r="P15" i="1"/>
  <c r="P16" i="1" s="1"/>
  <c r="P17" i="1" s="1"/>
  <c r="P18" i="1" s="1"/>
  <c r="P19" i="1" s="1"/>
  <c r="P20" i="1" s="1"/>
  <c r="P21" i="1" s="1"/>
</calcChain>
</file>

<file path=xl/sharedStrings.xml><?xml version="1.0" encoding="utf-8"?>
<sst xmlns="http://schemas.openxmlformats.org/spreadsheetml/2006/main" count="227" uniqueCount="34">
  <si>
    <t/>
  </si>
  <si>
    <t>Cavité : scialet de la Combe Oursière</t>
  </si>
  <si>
    <t xml:space="preserve"> </t>
  </si>
  <si>
    <t>Feuille n° 24</t>
  </si>
  <si>
    <t>Réseau : des Drômois</t>
  </si>
  <si>
    <t>Départ (n° 15) : Gal -82</t>
  </si>
  <si>
    <t>Arrivée (n° 510) : fond du réseau</t>
  </si>
  <si>
    <t>Correction compteur : x 1,02</t>
  </si>
  <si>
    <t xml:space="preserve">Visée inverses ? : </t>
  </si>
  <si>
    <t>Dev :</t>
  </si>
  <si>
    <t>Dev cum :</t>
  </si>
  <si>
    <t>Dep</t>
  </si>
  <si>
    <t>Arr</t>
  </si>
  <si>
    <t>A</t>
  </si>
  <si>
    <t>B</t>
  </si>
  <si>
    <t>Az</t>
  </si>
  <si>
    <t>Pente</t>
  </si>
  <si>
    <t>Angle</t>
  </si>
  <si>
    <t>AnglZ</t>
  </si>
  <si>
    <t>L</t>
  </si>
  <si>
    <t>Lp</t>
  </si>
  <si>
    <t>X</t>
  </si>
  <si>
    <t>Y</t>
  </si>
  <si>
    <t>Z</t>
  </si>
  <si>
    <t>l</t>
  </si>
  <si>
    <t>h</t>
  </si>
  <si>
    <t>Observations</t>
  </si>
  <si>
    <t>Base P</t>
  </si>
  <si>
    <t>P9. gros palier, réseaux annexes</t>
  </si>
  <si>
    <t>Arrivée etr</t>
  </si>
  <si>
    <t>etr. Méandre</t>
  </si>
  <si>
    <t>Méandre</t>
  </si>
  <si>
    <t>R</t>
  </si>
  <si>
    <t>P7. Suite : voir croquis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</si>
</sst>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color indexed="8"/>
      <name val="Geneva"/>
    </font>
    <font>
      <b/>
      <sz val="9"/>
      <color indexed="8"/>
      <name val="Geneva"/>
    </font>
    <font>
      <sz val="9"/>
      <color indexed="8"/>
      <name val="Genev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 applyProtection="1">
      <alignment horizontal="left"/>
      <protection locked="0"/>
    </xf>
    <xf numFmtId="0" fontId="1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right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2" fontId="2" fillId="0" borderId="2" xfId="0" applyNumberFormat="1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left"/>
      <protection locked="0"/>
    </xf>
    <xf numFmtId="2" fontId="2" fillId="0" borderId="3" xfId="0" applyNumberFormat="1" applyFont="1" applyBorder="1" applyAlignment="1" applyProtection="1">
      <alignment horizontal="left"/>
      <protection locked="0"/>
    </xf>
    <xf numFmtId="0" fontId="2" fillId="0" borderId="3" xfId="0" applyFont="1" applyBorder="1" applyAlignment="1" applyProtection="1">
      <alignment horizontal="center"/>
      <protection locked="0"/>
    </xf>
    <xf numFmtId="2" fontId="2" fillId="0" borderId="3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Views>
    <sheetView tabSelected="1" workbookViewId="0"/>
  </sheetViews>
  <sheetFormatPr baseColWidth="10" defaultRowHeight="13.2"/>
  <cols>
    <col min="1" max="2" width="3" customWidth="1"/>
    <col min="3" max="3" width="1" customWidth="1"/>
    <col min="4" max="5" width="4" customWidth="1"/>
    <col min="6" max="7" width="3" customWidth="1"/>
    <col min="8" max="8" width="1" customWidth="1"/>
    <col min="9" max="10" width="3" customWidth="1"/>
    <col min="11" max="11" width="1" customWidth="1"/>
    <col min="12" max="13" width="3" customWidth="1"/>
    <col min="14" max="14" width="1" customWidth="1"/>
    <col min="15" max="17" width="6" customWidth="1"/>
    <col min="18" max="19" width="3" customWidth="1"/>
    <col min="20" max="20" width="38" customWidth="1"/>
    <col min="21" max="23" width="3" customWidth="1"/>
    <col min="24" max="256" width="12.44140625" customWidth="1"/>
  </cols>
  <sheetData>
    <row r="1" spans="1:20">
      <c r="A1" s="2" t="s">
        <v>0</v>
      </c>
      <c r="B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I1" s="2" t="s">
        <v>0</v>
      </c>
      <c r="J1" s="2" t="s">
        <v>0</v>
      </c>
      <c r="L1" s="2" t="s">
        <v>0</v>
      </c>
      <c r="M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1" t="s">
        <v>1</v>
      </c>
    </row>
    <row r="2" spans="1:20">
      <c r="A2" s="2" t="s">
        <v>2</v>
      </c>
      <c r="B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I2" s="2" t="s">
        <v>0</v>
      </c>
      <c r="J2" s="2" t="s">
        <v>0</v>
      </c>
      <c r="L2" s="2" t="s">
        <v>0</v>
      </c>
      <c r="M2" s="2" t="s">
        <v>0</v>
      </c>
      <c r="O2" s="2" t="s">
        <v>0</v>
      </c>
      <c r="P2" s="2" t="s">
        <v>0</v>
      </c>
      <c r="Q2" s="2" t="s">
        <v>0</v>
      </c>
      <c r="R2" s="2" t="s">
        <v>0</v>
      </c>
      <c r="S2" s="2" t="s">
        <v>0</v>
      </c>
      <c r="T2" s="3" t="s">
        <v>3</v>
      </c>
    </row>
    <row r="3" spans="1:20">
      <c r="A3" s="2" t="s">
        <v>2</v>
      </c>
      <c r="B3" s="2" t="s">
        <v>0</v>
      </c>
      <c r="D3" s="2" t="s">
        <v>0</v>
      </c>
      <c r="E3" s="2" t="s">
        <v>0</v>
      </c>
      <c r="F3" s="2" t="s">
        <v>0</v>
      </c>
      <c r="G3" s="2" t="s">
        <v>0</v>
      </c>
      <c r="I3" s="2" t="s">
        <v>0</v>
      </c>
      <c r="J3" s="2" t="s">
        <v>0</v>
      </c>
      <c r="L3" s="2" t="s">
        <v>0</v>
      </c>
      <c r="M3" s="2" t="s">
        <v>0</v>
      </c>
      <c r="Q3" s="2" t="s">
        <v>0</v>
      </c>
      <c r="R3" s="2" t="s">
        <v>0</v>
      </c>
      <c r="S3" s="2" t="s">
        <v>0</v>
      </c>
      <c r="T3" s="3" t="s">
        <v>4</v>
      </c>
    </row>
    <row r="4" spans="1:20">
      <c r="A4" s="2" t="s">
        <v>0</v>
      </c>
      <c r="B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I4" s="2" t="s">
        <v>0</v>
      </c>
      <c r="J4" s="2" t="s">
        <v>0</v>
      </c>
      <c r="L4" s="2" t="s">
        <v>0</v>
      </c>
      <c r="M4" s="2" t="s">
        <v>0</v>
      </c>
      <c r="Q4" s="2" t="s">
        <v>0</v>
      </c>
      <c r="R4" s="2" t="s">
        <v>0</v>
      </c>
      <c r="S4" s="2" t="s">
        <v>0</v>
      </c>
      <c r="T4" s="3" t="s">
        <v>5</v>
      </c>
    </row>
    <row r="5" spans="1:20">
      <c r="A5" s="2" t="s">
        <v>0</v>
      </c>
      <c r="B5" s="2" t="s">
        <v>0</v>
      </c>
      <c r="D5" s="2" t="s">
        <v>0</v>
      </c>
      <c r="E5" s="2" t="s">
        <v>0</v>
      </c>
      <c r="F5" s="2" t="s">
        <v>0</v>
      </c>
      <c r="G5" s="2" t="s">
        <v>0</v>
      </c>
      <c r="I5" s="2" t="s">
        <v>0</v>
      </c>
      <c r="J5" s="2" t="s">
        <v>0</v>
      </c>
      <c r="L5" s="2" t="s">
        <v>0</v>
      </c>
      <c r="M5" s="2" t="s">
        <v>0</v>
      </c>
      <c r="O5" s="2" t="s">
        <v>0</v>
      </c>
      <c r="P5" s="2" t="s">
        <v>0</v>
      </c>
      <c r="Q5" s="2" t="s">
        <v>0</v>
      </c>
      <c r="R5" s="2" t="s">
        <v>0</v>
      </c>
      <c r="S5" s="2" t="s">
        <v>0</v>
      </c>
      <c r="T5" s="3" t="s">
        <v>6</v>
      </c>
    </row>
    <row r="6" spans="1:20">
      <c r="A6" s="2" t="s">
        <v>0</v>
      </c>
      <c r="B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I6" s="2" t="s">
        <v>0</v>
      </c>
      <c r="J6" s="2" t="s">
        <v>0</v>
      </c>
      <c r="L6" s="2" t="s">
        <v>0</v>
      </c>
      <c r="M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3" t="s">
        <v>7</v>
      </c>
    </row>
    <row r="7" spans="1:20">
      <c r="A7" s="2" t="s">
        <v>0</v>
      </c>
      <c r="B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I7" s="2" t="s">
        <v>0</v>
      </c>
      <c r="J7" s="2" t="s">
        <v>0</v>
      </c>
      <c r="L7" s="2" t="s">
        <v>0</v>
      </c>
      <c r="M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3" t="s">
        <v>8</v>
      </c>
    </row>
    <row r="8" spans="1:20">
      <c r="A8" s="2" t="s">
        <v>0</v>
      </c>
      <c r="B8" s="2" t="s">
        <v>0</v>
      </c>
      <c r="D8" s="2" t="s">
        <v>0</v>
      </c>
      <c r="E8" s="2" t="s">
        <v>0</v>
      </c>
      <c r="F8" s="2" t="s">
        <v>0</v>
      </c>
      <c r="G8" s="2" t="s">
        <v>0</v>
      </c>
      <c r="I8" s="2" t="s">
        <v>0</v>
      </c>
      <c r="J8" s="2" t="s">
        <v>0</v>
      </c>
      <c r="L8" s="2" t="s">
        <v>0</v>
      </c>
      <c r="M8" s="2" t="s">
        <v>0</v>
      </c>
      <c r="O8" s="2" t="s">
        <v>0</v>
      </c>
      <c r="P8" s="2" t="s">
        <v>0</v>
      </c>
      <c r="Q8" s="2" t="s">
        <v>0</v>
      </c>
      <c r="R8" s="2" t="s">
        <v>0</v>
      </c>
      <c r="S8" s="2" t="s">
        <v>9</v>
      </c>
      <c r="T8" s="1">
        <f>L13+L14+L15+L16+L17+L18+L19+L20</f>
        <v>35.86</v>
      </c>
    </row>
    <row r="9" spans="1:20">
      <c r="A9" s="2" t="s">
        <v>0</v>
      </c>
      <c r="B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I9" s="2" t="s">
        <v>0</v>
      </c>
      <c r="J9" s="2" t="s">
        <v>0</v>
      </c>
      <c r="L9" s="2" t="s">
        <v>0</v>
      </c>
      <c r="M9" s="2" t="s">
        <v>0</v>
      </c>
      <c r="O9" s="2" t="s">
        <v>0</v>
      </c>
      <c r="P9" s="2" t="s">
        <v>0</v>
      </c>
      <c r="Q9" s="2" t="s">
        <v>0</v>
      </c>
      <c r="R9" s="2" t="s">
        <v>0</v>
      </c>
      <c r="S9" s="2" t="s">
        <v>10</v>
      </c>
      <c r="T9" s="1">
        <f>2799.1+T8</f>
        <v>2834.96</v>
      </c>
    </row>
    <row r="10" spans="1:20">
      <c r="A10" s="10" t="s">
        <v>11</v>
      </c>
      <c r="B10" s="10" t="s">
        <v>12</v>
      </c>
      <c r="D10" s="10" t="s">
        <v>13</v>
      </c>
      <c r="E10" s="10" t="s">
        <v>14</v>
      </c>
      <c r="F10" s="10" t="s">
        <v>15</v>
      </c>
      <c r="G10" s="10" t="s">
        <v>16</v>
      </c>
      <c r="I10" s="10" t="s">
        <v>17</v>
      </c>
      <c r="J10" s="10" t="s">
        <v>18</v>
      </c>
      <c r="L10" s="10" t="s">
        <v>19</v>
      </c>
      <c r="M10" s="10" t="s">
        <v>20</v>
      </c>
      <c r="O10" s="10" t="s">
        <v>21</v>
      </c>
      <c r="P10" s="10" t="s">
        <v>22</v>
      </c>
      <c r="Q10" s="10" t="s">
        <v>23</v>
      </c>
      <c r="R10" s="7" t="s">
        <v>24</v>
      </c>
      <c r="S10" s="7" t="s">
        <v>25</v>
      </c>
      <c r="T10" s="10" t="s">
        <v>26</v>
      </c>
    </row>
    <row r="11" spans="1:20">
      <c r="A11" s="4" t="s">
        <v>0</v>
      </c>
      <c r="B11" s="4" t="s">
        <v>0</v>
      </c>
      <c r="C11" s="3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3" t="s">
        <v>0</v>
      </c>
      <c r="I11" s="3" t="s">
        <v>0</v>
      </c>
      <c r="J11" s="3" t="s">
        <v>0</v>
      </c>
      <c r="K11" s="3" t="s">
        <v>0</v>
      </c>
      <c r="L11" s="3" t="s">
        <v>0</v>
      </c>
      <c r="M11" s="4" t="s">
        <v>0</v>
      </c>
      <c r="N11" s="3" t="s">
        <v>0</v>
      </c>
      <c r="O11" s="3" t="s">
        <v>0</v>
      </c>
      <c r="P11" s="3" t="s">
        <v>0</v>
      </c>
      <c r="Q11" s="3" t="s">
        <v>0</v>
      </c>
      <c r="R11" s="2" t="s">
        <v>0</v>
      </c>
      <c r="S11" s="2" t="s">
        <v>0</v>
      </c>
      <c r="T11" s="3" t="s">
        <v>0</v>
      </c>
    </row>
    <row r="12" spans="1:20">
      <c r="A12" s="4" t="s">
        <v>0</v>
      </c>
      <c r="B12" s="4" t="s">
        <v>0</v>
      </c>
      <c r="C12" s="3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3" t="s">
        <v>0</v>
      </c>
      <c r="I12" s="3" t="s">
        <v>0</v>
      </c>
      <c r="J12" s="3" t="s">
        <v>0</v>
      </c>
      <c r="K12" s="3" t="s">
        <v>0</v>
      </c>
      <c r="L12" s="3" t="s">
        <v>0</v>
      </c>
      <c r="M12" s="4" t="s">
        <v>0</v>
      </c>
      <c r="N12" s="3" t="s">
        <v>0</v>
      </c>
      <c r="O12" s="5">
        <v>-18.7</v>
      </c>
      <c r="P12" s="5">
        <v>-0.4</v>
      </c>
      <c r="Q12" s="5">
        <v>-81.900000000000006</v>
      </c>
      <c r="R12" s="2" t="s">
        <v>0</v>
      </c>
      <c r="S12" s="2" t="s">
        <v>0</v>
      </c>
      <c r="T12" s="3" t="s">
        <v>0</v>
      </c>
    </row>
    <row r="13" spans="1:20">
      <c r="A13" s="10" t="str">
        <f t="shared" ref="A13:A21" si="0">B12</f>
        <v/>
      </c>
      <c r="B13" s="10">
        <v>502</v>
      </c>
      <c r="D13" s="13" t="s">
        <v>2</v>
      </c>
      <c r="E13" s="13" t="s">
        <v>2</v>
      </c>
      <c r="F13" s="13">
        <v>230</v>
      </c>
      <c r="G13" s="13">
        <v>155</v>
      </c>
      <c r="I13" s="13">
        <f t="shared" ref="I13:I21" si="1">ABS(G13-100)</f>
        <v>55</v>
      </c>
      <c r="J13" s="13">
        <f t="shared" ref="J13:J21" si="2">-(G13-100)</f>
        <v>-55</v>
      </c>
      <c r="L13" s="13">
        <v>9</v>
      </c>
      <c r="M13" s="13">
        <f t="shared" ref="M13:M21" si="3">(COS(I13*3.14/200))*L13</f>
        <v>5.8480292559052671</v>
      </c>
      <c r="O13" s="14">
        <f t="shared" ref="O13:O21" si="4">(SIN(F13*3.14/200))*M13+O12</f>
        <v>-21.345401734666474</v>
      </c>
      <c r="P13" s="6">
        <f t="shared" ref="P13:P21" si="5">(COS(F13*3.14/200))*M13+P12</f>
        <v>-5.6154861556855389</v>
      </c>
      <c r="Q13" s="14">
        <f t="shared" ref="Q13:Q21" si="6">SIN(J13*3.14/200)*L13+Q12</f>
        <v>-88.741093028316172</v>
      </c>
      <c r="R13" s="9" t="s">
        <v>2</v>
      </c>
      <c r="S13" s="9" t="s">
        <v>2</v>
      </c>
      <c r="T13" s="12" t="s">
        <v>27</v>
      </c>
    </row>
    <row r="14" spans="1:20">
      <c r="A14" s="13">
        <f t="shared" si="0"/>
        <v>502</v>
      </c>
      <c r="B14" s="13">
        <f t="shared" ref="B14:B21" si="7">A14+1</f>
        <v>503</v>
      </c>
      <c r="D14" s="13">
        <v>4064</v>
      </c>
      <c r="E14" s="13">
        <v>4155</v>
      </c>
      <c r="F14" s="13">
        <v>295</v>
      </c>
      <c r="G14" s="13">
        <v>174</v>
      </c>
      <c r="I14" s="13">
        <f t="shared" si="1"/>
        <v>74</v>
      </c>
      <c r="J14" s="13">
        <f t="shared" si="2"/>
        <v>-74</v>
      </c>
      <c r="L14" s="13">
        <f>(E14-D14)/10*1.02</f>
        <v>9.282</v>
      </c>
      <c r="M14" s="13">
        <f t="shared" si="3"/>
        <v>3.6913459357974143</v>
      </c>
      <c r="O14" s="14">
        <f t="shared" si="4"/>
        <v>-25.024677965316787</v>
      </c>
      <c r="P14" s="6">
        <f t="shared" si="5"/>
        <v>-5.9137498583040555</v>
      </c>
      <c r="Q14" s="14">
        <f t="shared" si="6"/>
        <v>-97.257517699636409</v>
      </c>
      <c r="R14" s="9" t="s">
        <v>2</v>
      </c>
      <c r="S14" s="9" t="s">
        <v>2</v>
      </c>
      <c r="T14" s="12" t="s">
        <v>28</v>
      </c>
    </row>
    <row r="15" spans="1:20">
      <c r="A15" s="13">
        <f t="shared" si="0"/>
        <v>503</v>
      </c>
      <c r="B15" s="13">
        <f t="shared" si="7"/>
        <v>504</v>
      </c>
      <c r="D15" s="13">
        <f>E14</f>
        <v>4155</v>
      </c>
      <c r="E15" s="13">
        <v>4198</v>
      </c>
      <c r="F15" s="13">
        <v>227</v>
      </c>
      <c r="G15" s="13">
        <v>162</v>
      </c>
      <c r="I15" s="13">
        <f t="shared" si="1"/>
        <v>62</v>
      </c>
      <c r="J15" s="13">
        <f t="shared" si="2"/>
        <v>-62</v>
      </c>
      <c r="L15" s="13">
        <f>(E15-D15)/10*1.02</f>
        <v>4.3860000000000001</v>
      </c>
      <c r="M15" s="13">
        <f t="shared" si="3"/>
        <v>2.4670884107178552</v>
      </c>
      <c r="O15" s="14">
        <f t="shared" si="4"/>
        <v>-26.035854063627674</v>
      </c>
      <c r="P15" s="6">
        <f t="shared" si="5"/>
        <v>-8.1640938596743187</v>
      </c>
      <c r="Q15" s="14">
        <f t="shared" si="6"/>
        <v>-100.88387548310203</v>
      </c>
      <c r="R15" s="9" t="s">
        <v>2</v>
      </c>
      <c r="S15" s="9" t="s">
        <v>2</v>
      </c>
      <c r="T15" s="12" t="s">
        <v>29</v>
      </c>
    </row>
    <row r="16" spans="1:20">
      <c r="A16" s="13">
        <f t="shared" si="0"/>
        <v>504</v>
      </c>
      <c r="B16" s="13">
        <f t="shared" si="7"/>
        <v>505</v>
      </c>
      <c r="D16" s="13" t="s">
        <v>2</v>
      </c>
      <c r="E16" s="13" t="s">
        <v>2</v>
      </c>
      <c r="F16" s="13">
        <v>125</v>
      </c>
      <c r="G16" s="13">
        <v>139</v>
      </c>
      <c r="I16" s="13">
        <f t="shared" si="1"/>
        <v>39</v>
      </c>
      <c r="J16" s="13">
        <f t="shared" si="2"/>
        <v>-39</v>
      </c>
      <c r="L16" s="13">
        <v>3</v>
      </c>
      <c r="M16" s="13">
        <f t="shared" si="3"/>
        <v>2.4549847676426291</v>
      </c>
      <c r="O16" s="14">
        <f t="shared" si="4"/>
        <v>-23.766809839635265</v>
      </c>
      <c r="P16" s="6">
        <f t="shared" si="5"/>
        <v>-9.1013176957583273</v>
      </c>
      <c r="Q16" s="14">
        <f t="shared" si="6"/>
        <v>-102.60812888403899</v>
      </c>
      <c r="R16" s="9" t="s">
        <v>2</v>
      </c>
      <c r="S16" s="8">
        <v>2</v>
      </c>
      <c r="T16" s="11" t="s">
        <v>30</v>
      </c>
    </row>
    <row r="17" spans="1:20">
      <c r="A17" s="13">
        <f t="shared" si="0"/>
        <v>505</v>
      </c>
      <c r="B17" s="13">
        <f t="shared" si="7"/>
        <v>506</v>
      </c>
      <c r="D17" s="13" t="s">
        <v>2</v>
      </c>
      <c r="E17" s="13" t="s">
        <v>2</v>
      </c>
      <c r="F17" s="13">
        <v>190</v>
      </c>
      <c r="G17" s="13">
        <v>100</v>
      </c>
      <c r="I17" s="13">
        <f t="shared" si="1"/>
        <v>0</v>
      </c>
      <c r="J17" s="13">
        <f t="shared" si="2"/>
        <v>0</v>
      </c>
      <c r="L17" s="13">
        <v>1</v>
      </c>
      <c r="M17" s="13">
        <f t="shared" si="3"/>
        <v>1</v>
      </c>
      <c r="O17" s="14">
        <f t="shared" si="4"/>
        <v>-23.6088811611104</v>
      </c>
      <c r="P17" s="6">
        <f t="shared" si="5"/>
        <v>-10.088768217303276</v>
      </c>
      <c r="Q17" s="14">
        <f t="shared" si="6"/>
        <v>-102.60812888403899</v>
      </c>
      <c r="R17" s="9" t="s">
        <v>2</v>
      </c>
      <c r="S17" s="9" t="s">
        <v>2</v>
      </c>
      <c r="T17" s="12" t="s">
        <v>31</v>
      </c>
    </row>
    <row r="18" spans="1:20">
      <c r="A18" s="13">
        <f t="shared" si="0"/>
        <v>506</v>
      </c>
      <c r="B18" s="13">
        <f t="shared" si="7"/>
        <v>507</v>
      </c>
      <c r="D18" s="13" t="s">
        <v>2</v>
      </c>
      <c r="E18" s="13" t="s">
        <v>2</v>
      </c>
      <c r="F18" s="13">
        <v>295</v>
      </c>
      <c r="G18" s="13">
        <v>132</v>
      </c>
      <c r="I18" s="13">
        <f t="shared" si="1"/>
        <v>32</v>
      </c>
      <c r="J18" s="13">
        <f t="shared" si="2"/>
        <v>-32</v>
      </c>
      <c r="L18" s="13">
        <v>3.5</v>
      </c>
      <c r="M18" s="13">
        <f t="shared" si="3"/>
        <v>3.0675029499301374</v>
      </c>
      <c r="O18" s="14">
        <f t="shared" si="4"/>
        <v>-26.666354204121092</v>
      </c>
      <c r="P18" s="6">
        <f t="shared" si="5"/>
        <v>-10.336624907939273</v>
      </c>
      <c r="Q18" s="14">
        <f t="shared" si="6"/>
        <v>-104.29348512298965</v>
      </c>
      <c r="R18" s="9" t="s">
        <v>2</v>
      </c>
      <c r="S18" s="9" t="s">
        <v>2</v>
      </c>
      <c r="T18" s="12" t="s">
        <v>31</v>
      </c>
    </row>
    <row r="19" spans="1:20">
      <c r="A19" s="13">
        <f t="shared" si="0"/>
        <v>507</v>
      </c>
      <c r="B19" s="13">
        <f t="shared" si="7"/>
        <v>508</v>
      </c>
      <c r="D19" s="13" t="s">
        <v>2</v>
      </c>
      <c r="E19" s="13" t="s">
        <v>2</v>
      </c>
      <c r="F19" s="13">
        <v>130</v>
      </c>
      <c r="G19" s="13">
        <v>100</v>
      </c>
      <c r="I19" s="13">
        <f t="shared" si="1"/>
        <v>0</v>
      </c>
      <c r="J19" s="13">
        <f t="shared" si="2"/>
        <v>0</v>
      </c>
      <c r="L19" s="13">
        <v>1</v>
      </c>
      <c r="M19" s="13">
        <f t="shared" si="3"/>
        <v>1</v>
      </c>
      <c r="O19" s="14">
        <f t="shared" si="4"/>
        <v>-25.774878175218777</v>
      </c>
      <c r="P19" s="6">
        <f t="shared" si="5"/>
        <v>-10.789692772494421</v>
      </c>
      <c r="Q19" s="14">
        <f t="shared" si="6"/>
        <v>-104.29348512298965</v>
      </c>
      <c r="R19" s="9" t="s">
        <v>2</v>
      </c>
      <c r="S19" s="9" t="s">
        <v>2</v>
      </c>
      <c r="T19" s="12" t="s">
        <v>31</v>
      </c>
    </row>
    <row r="20" spans="1:20">
      <c r="A20" s="13">
        <f t="shared" si="0"/>
        <v>508</v>
      </c>
      <c r="B20" s="13">
        <f t="shared" si="7"/>
        <v>509</v>
      </c>
      <c r="D20" s="13">
        <v>4212</v>
      </c>
      <c r="E20" s="13">
        <v>4258</v>
      </c>
      <c r="F20" s="13">
        <v>265</v>
      </c>
      <c r="G20" s="13">
        <v>150</v>
      </c>
      <c r="I20" s="13">
        <f t="shared" si="1"/>
        <v>50</v>
      </c>
      <c r="J20" s="13">
        <f t="shared" si="2"/>
        <v>-50</v>
      </c>
      <c r="L20" s="13">
        <f>(E20-D20)/10*1.02</f>
        <v>4.6919999999999993</v>
      </c>
      <c r="M20" s="13">
        <f t="shared" si="3"/>
        <v>3.319065758932501</v>
      </c>
      <c r="O20" s="14">
        <f t="shared" si="4"/>
        <v>-28.601181012613807</v>
      </c>
      <c r="P20" s="6">
        <f t="shared" si="5"/>
        <v>-12.529867988801957</v>
      </c>
      <c r="Q20" s="14">
        <f t="shared" si="6"/>
        <v>-107.60990887273603</v>
      </c>
      <c r="R20" s="9" t="s">
        <v>2</v>
      </c>
      <c r="S20" s="9" t="s">
        <v>2</v>
      </c>
      <c r="T20" s="12" t="s">
        <v>32</v>
      </c>
    </row>
    <row r="21" spans="1:20">
      <c r="A21" s="13">
        <f t="shared" si="0"/>
        <v>509</v>
      </c>
      <c r="B21" s="13">
        <f t="shared" si="7"/>
        <v>510</v>
      </c>
      <c r="D21" s="13">
        <f>E20</f>
        <v>4258</v>
      </c>
      <c r="E21" s="13">
        <v>4353</v>
      </c>
      <c r="F21" s="13">
        <v>255</v>
      </c>
      <c r="G21" s="13">
        <v>150</v>
      </c>
      <c r="I21" s="13">
        <f t="shared" si="1"/>
        <v>50</v>
      </c>
      <c r="J21" s="13">
        <f t="shared" si="2"/>
        <v>-50</v>
      </c>
      <c r="L21" s="13">
        <f>(E21-D21)/10*1.02</f>
        <v>9.69</v>
      </c>
      <c r="M21" s="13">
        <f t="shared" si="3"/>
        <v>6.8545923282301651</v>
      </c>
      <c r="O21" s="14">
        <f t="shared" si="4"/>
        <v>-33.804403396992157</v>
      </c>
      <c r="P21" s="6">
        <f t="shared" si="5"/>
        <v>-16.992144628022785</v>
      </c>
      <c r="Q21" s="14">
        <f t="shared" si="6"/>
        <v>-114.45904487764702</v>
      </c>
      <c r="R21" s="9" t="s">
        <v>2</v>
      </c>
      <c r="S21" s="9" t="s">
        <v>2</v>
      </c>
      <c r="T21" s="12" t="s">
        <v>33</v>
      </c>
    </row>
  </sheetData>
  <printOptions headings="1"/>
  <pageMargins left="1" right="1" top="1" bottom="1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Combe Oursière n° 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2021-07-04T20:25:28Z</dcterms:created>
  <dcterms:modified xsi:type="dcterms:W3CDTF">2021-07-04T20:25:28Z</dcterms:modified>
</cp:coreProperties>
</file>