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chiers  Phil PC\Spéléo\Topo\Archives\Vercors\"/>
    </mc:Choice>
  </mc:AlternateContent>
  <xr:revisionPtr revIDLastSave="0" documentId="8_{4C6E61AD-571B-412B-B89C-D558558CE554}" xr6:coauthVersionLast="47" xr6:coauthVersionMax="47" xr10:uidLastSave="{00000000-0000-0000-0000-000000000000}"/>
  <bookViews>
    <workbookView xWindow="9744" yWindow="2136" windowWidth="18936" windowHeight="14688"/>
  </bookViews>
  <sheets>
    <sheet name="Tonnerre de Brest" sheetId="1" r:id="rId1"/>
  </sheets>
  <calcPr calcId="0"/>
</workbook>
</file>

<file path=xl/calcChain.xml><?xml version="1.0" encoding="utf-8"?>
<calcChain xmlns="http://schemas.openxmlformats.org/spreadsheetml/2006/main">
  <c r="A12" i="1" l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I12" i="1"/>
  <c r="M12" i="1" s="1"/>
  <c r="J12" i="1"/>
  <c r="Q12" i="1" s="1"/>
  <c r="L12" i="1"/>
  <c r="D13" i="1"/>
  <c r="L13" i="1" s="1"/>
  <c r="Q13" i="1" s="1"/>
  <c r="I13" i="1"/>
  <c r="J13" i="1"/>
  <c r="I14" i="1"/>
  <c r="M14" i="1" s="1"/>
  <c r="J14" i="1"/>
  <c r="I15" i="1"/>
  <c r="M15" i="1" s="1"/>
  <c r="J15" i="1"/>
  <c r="L15" i="1"/>
  <c r="D16" i="1"/>
  <c r="L16" i="1" s="1"/>
  <c r="I16" i="1"/>
  <c r="J16" i="1"/>
  <c r="D17" i="1"/>
  <c r="I17" i="1"/>
  <c r="J17" i="1"/>
  <c r="L17" i="1"/>
  <c r="M17" i="1"/>
  <c r="D18" i="1"/>
  <c r="L18" i="1" s="1"/>
  <c r="M18" i="1" s="1"/>
  <c r="I18" i="1"/>
  <c r="J18" i="1"/>
  <c r="D19" i="1"/>
  <c r="L19" i="1" s="1"/>
  <c r="I19" i="1"/>
  <c r="M19" i="1" s="1"/>
  <c r="J19" i="1"/>
  <c r="D22" i="1"/>
  <c r="L22" i="1" s="1"/>
  <c r="I22" i="1"/>
  <c r="M22" i="1" s="1"/>
  <c r="J22" i="1"/>
  <c r="Q22" i="1" s="1"/>
  <c r="A23" i="1"/>
  <c r="B23" i="1" s="1"/>
  <c r="A24" i="1" s="1"/>
  <c r="B24" i="1" s="1"/>
  <c r="A25" i="1" s="1"/>
  <c r="B25" i="1" s="1"/>
  <c r="A26" i="1" s="1"/>
  <c r="B26" i="1" s="1"/>
  <c r="D23" i="1"/>
  <c r="L23" i="1" s="1"/>
  <c r="I23" i="1"/>
  <c r="J23" i="1"/>
  <c r="D24" i="1"/>
  <c r="I24" i="1"/>
  <c r="J24" i="1"/>
  <c r="L24" i="1"/>
  <c r="M24" i="1"/>
  <c r="D25" i="1"/>
  <c r="I25" i="1"/>
  <c r="J25" i="1"/>
  <c r="L25" i="1"/>
  <c r="M25" i="1"/>
  <c r="D26" i="1"/>
  <c r="L26" i="1" s="1"/>
  <c r="I26" i="1"/>
  <c r="M26" i="1" s="1"/>
  <c r="J26" i="1"/>
  <c r="M16" i="1" l="1"/>
  <c r="Q15" i="1"/>
  <c r="Q16" i="1" s="1"/>
  <c r="Q17" i="1" s="1"/>
  <c r="Q18" i="1" s="1"/>
  <c r="Q19" i="1" s="1"/>
  <c r="O22" i="1"/>
  <c r="P22" i="1"/>
  <c r="P3" i="1"/>
  <c r="P4" i="1" s="1"/>
  <c r="P12" i="1"/>
  <c r="O12" i="1"/>
  <c r="Q14" i="1"/>
  <c r="M23" i="1"/>
  <c r="Q23" i="1"/>
  <c r="Q24" i="1" s="1"/>
  <c r="Q25" i="1" s="1"/>
  <c r="Q26" i="1" s="1"/>
  <c r="M13" i="1"/>
  <c r="O23" i="1" l="1"/>
  <c r="O24" i="1" s="1"/>
  <c r="O25" i="1" s="1"/>
  <c r="O26" i="1" s="1"/>
  <c r="P23" i="1"/>
  <c r="P24" i="1" s="1"/>
  <c r="P25" i="1" s="1"/>
  <c r="P26" i="1" s="1"/>
  <c r="O13" i="1"/>
  <c r="O14" i="1" s="1"/>
  <c r="O15" i="1" s="1"/>
  <c r="O16" i="1" s="1"/>
  <c r="O17" i="1" s="1"/>
  <c r="O18" i="1" s="1"/>
  <c r="O19" i="1" s="1"/>
  <c r="P13" i="1"/>
  <c r="P14" i="1" s="1"/>
  <c r="P15" i="1" s="1"/>
  <c r="P16" i="1" s="1"/>
  <c r="P17" i="1" s="1"/>
  <c r="P18" i="1" s="1"/>
  <c r="P19" i="1" s="1"/>
</calcChain>
</file>

<file path=xl/sharedStrings.xml><?xml version="1.0" encoding="utf-8"?>
<sst xmlns="http://schemas.openxmlformats.org/spreadsheetml/2006/main" count="724" uniqueCount="34">
  <si>
    <t/>
  </si>
  <si>
    <t>Cavité : Tonnerre de Brest</t>
  </si>
  <si>
    <t xml:space="preserve"> </t>
  </si>
  <si>
    <t>Feuille n° 7</t>
  </si>
  <si>
    <t>Dev :</t>
  </si>
  <si>
    <t>Réseau : Fond</t>
  </si>
  <si>
    <t>Dev cum :</t>
  </si>
  <si>
    <t>Départ (n° 101) : base P23</t>
  </si>
  <si>
    <t>Arrivée (n° 114) : fond</t>
  </si>
  <si>
    <t>Correction compteur : x 1,02</t>
  </si>
  <si>
    <t>Correction clino : + 2 gr</t>
  </si>
  <si>
    <t>Dep</t>
  </si>
  <si>
    <t>Arr</t>
  </si>
  <si>
    <t>A</t>
  </si>
  <si>
    <t>B</t>
  </si>
  <si>
    <t>Az</t>
  </si>
  <si>
    <t>Pente</t>
  </si>
  <si>
    <t>Angle</t>
  </si>
  <si>
    <t>AnglZ</t>
  </si>
  <si>
    <t>L</t>
  </si>
  <si>
    <t>Lp</t>
  </si>
  <si>
    <t>X</t>
  </si>
  <si>
    <t>Y</t>
  </si>
  <si>
    <t>Z</t>
  </si>
  <si>
    <t>l</t>
  </si>
  <si>
    <t>h</t>
  </si>
  <si>
    <t>Observations</t>
  </si>
  <si>
    <t>Etr</t>
  </si>
  <si>
    <t>R</t>
  </si>
  <si>
    <t>P15</t>
  </si>
  <si>
    <t>Fond</t>
  </si>
  <si>
    <t>Etr. Perte à mi-chemin</t>
  </si>
  <si>
    <t>CF</t>
  </si>
  <si>
    <t>Diacl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</si>
</sst>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Geneva"/>
    </font>
    <font>
      <b/>
      <sz val="9"/>
      <color indexed="8"/>
      <name val="Geneva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2" fontId="2" fillId="0" borderId="2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left"/>
      <protection locked="0"/>
    </xf>
    <xf numFmtId="2" fontId="2" fillId="0" borderId="3" xfId="0" applyNumberFormat="1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center"/>
      <protection locked="0"/>
    </xf>
    <xf numFmtId="2" fontId="2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6"/>
  <sheetViews>
    <sheetView tabSelected="1" workbookViewId="0"/>
  </sheetViews>
  <sheetFormatPr baseColWidth="10" defaultRowHeight="13.2"/>
  <cols>
    <col min="1" max="2" width="5" customWidth="1"/>
    <col min="3" max="3" width="1" customWidth="1"/>
    <col min="4" max="7" width="5" customWidth="1"/>
    <col min="8" max="8" width="1" customWidth="1"/>
    <col min="9" max="10" width="5" customWidth="1"/>
    <col min="11" max="11" width="1" customWidth="1"/>
    <col min="12" max="13" width="5" customWidth="1"/>
    <col min="14" max="14" width="1" customWidth="1"/>
    <col min="15" max="15" width="7" customWidth="1"/>
    <col min="16" max="16" width="5" customWidth="1"/>
    <col min="17" max="17" width="7" customWidth="1"/>
    <col min="18" max="19" width="3" customWidth="1"/>
    <col min="20" max="20" width="34" customWidth="1"/>
    <col min="21" max="256" width="5" customWidth="1"/>
  </cols>
  <sheetData>
    <row r="1" spans="1:20">
      <c r="A1" s="2" t="s">
        <v>0</v>
      </c>
      <c r="B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I1" s="2" t="s">
        <v>0</v>
      </c>
      <c r="J1" s="2" t="s">
        <v>0</v>
      </c>
      <c r="L1" s="2" t="s">
        <v>0</v>
      </c>
      <c r="M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1" t="s">
        <v>1</v>
      </c>
    </row>
    <row r="2" spans="1:20">
      <c r="A2" s="2" t="s">
        <v>2</v>
      </c>
      <c r="B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I2" s="2" t="s">
        <v>0</v>
      </c>
      <c r="J2" s="2" t="s">
        <v>0</v>
      </c>
      <c r="L2" s="2" t="s">
        <v>0</v>
      </c>
      <c r="M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3" t="s">
        <v>3</v>
      </c>
    </row>
    <row r="3" spans="1:20">
      <c r="A3" s="2" t="s">
        <v>2</v>
      </c>
      <c r="B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I3" s="2" t="s">
        <v>0</v>
      </c>
      <c r="J3" s="2" t="s">
        <v>0</v>
      </c>
      <c r="L3" s="2" t="s">
        <v>0</v>
      </c>
      <c r="M3" s="2" t="s">
        <v>0</v>
      </c>
      <c r="O3" s="2" t="s">
        <v>4</v>
      </c>
      <c r="P3" s="2">
        <f>L12+L13+L14+L15+L16+L17+L18+L19+L22+L23+L24+L25+L26</f>
        <v>89.414000000000001</v>
      </c>
      <c r="Q3" s="2" t="s">
        <v>0</v>
      </c>
      <c r="R3" s="2" t="s">
        <v>0</v>
      </c>
      <c r="S3" s="2" t="s">
        <v>0</v>
      </c>
      <c r="T3" s="3" t="s">
        <v>5</v>
      </c>
    </row>
    <row r="4" spans="1:20">
      <c r="A4" s="2" t="s">
        <v>0</v>
      </c>
      <c r="B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I4" s="2" t="s">
        <v>0</v>
      </c>
      <c r="J4" s="2" t="s">
        <v>0</v>
      </c>
      <c r="L4" s="2" t="s">
        <v>0</v>
      </c>
      <c r="M4" s="2" t="s">
        <v>0</v>
      </c>
      <c r="O4" s="2" t="s">
        <v>6</v>
      </c>
      <c r="P4" s="2">
        <f>P3+494.5</f>
        <v>583.91399999999999</v>
      </c>
      <c r="Q4" s="2" t="s">
        <v>0</v>
      </c>
      <c r="R4" s="2" t="s">
        <v>0</v>
      </c>
      <c r="S4" s="2" t="s">
        <v>0</v>
      </c>
      <c r="T4" s="3" t="s">
        <v>7</v>
      </c>
    </row>
    <row r="5" spans="1:20">
      <c r="A5" s="2" t="s">
        <v>0</v>
      </c>
      <c r="B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I5" s="2" t="s">
        <v>0</v>
      </c>
      <c r="J5" s="2" t="s">
        <v>0</v>
      </c>
      <c r="L5" s="2" t="s">
        <v>0</v>
      </c>
      <c r="M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3" t="s">
        <v>8</v>
      </c>
    </row>
    <row r="6" spans="1:20">
      <c r="A6" s="2" t="s">
        <v>0</v>
      </c>
      <c r="B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I6" s="2" t="s">
        <v>0</v>
      </c>
      <c r="J6" s="2" t="s">
        <v>0</v>
      </c>
      <c r="L6" s="2" t="s">
        <v>0</v>
      </c>
      <c r="M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3" t="s">
        <v>9</v>
      </c>
    </row>
    <row r="7" spans="1:20">
      <c r="A7" s="2" t="s">
        <v>0</v>
      </c>
      <c r="B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I7" s="2" t="s">
        <v>0</v>
      </c>
      <c r="J7" s="2" t="s">
        <v>0</v>
      </c>
      <c r="L7" s="2" t="s">
        <v>0</v>
      </c>
      <c r="M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3" t="s">
        <v>10</v>
      </c>
    </row>
    <row r="8" spans="1:20">
      <c r="A8" s="2" t="s">
        <v>0</v>
      </c>
      <c r="B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I8" s="2" t="s">
        <v>0</v>
      </c>
      <c r="J8" s="2" t="s">
        <v>0</v>
      </c>
      <c r="L8" s="2" t="s">
        <v>0</v>
      </c>
      <c r="M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3" t="s">
        <v>0</v>
      </c>
    </row>
    <row r="9" spans="1:20">
      <c r="A9" s="12" t="s">
        <v>11</v>
      </c>
      <c r="B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I9" s="12" t="s">
        <v>17</v>
      </c>
      <c r="J9" s="12" t="s">
        <v>18</v>
      </c>
      <c r="L9" s="12" t="s">
        <v>19</v>
      </c>
      <c r="M9" s="12" t="s">
        <v>20</v>
      </c>
      <c r="O9" s="12" t="s">
        <v>21</v>
      </c>
      <c r="P9" s="12" t="s">
        <v>22</v>
      </c>
      <c r="Q9" s="12" t="s">
        <v>23</v>
      </c>
      <c r="R9" s="9" t="s">
        <v>24</v>
      </c>
      <c r="S9" s="9" t="s">
        <v>25</v>
      </c>
      <c r="T9" s="12" t="s">
        <v>26</v>
      </c>
    </row>
    <row r="10" spans="1:20">
      <c r="A10" s="5" t="s">
        <v>0</v>
      </c>
      <c r="B10" s="5" t="s">
        <v>0</v>
      </c>
      <c r="C10" s="3" t="s">
        <v>0</v>
      </c>
      <c r="D10" s="5" t="s">
        <v>0</v>
      </c>
      <c r="E10" s="5" t="s">
        <v>0</v>
      </c>
      <c r="F10" s="5" t="s">
        <v>0</v>
      </c>
      <c r="G10" s="5" t="s">
        <v>0</v>
      </c>
      <c r="H10" s="3" t="s">
        <v>0</v>
      </c>
      <c r="I10" s="3" t="s">
        <v>0</v>
      </c>
      <c r="J10" s="3" t="s">
        <v>0</v>
      </c>
      <c r="K10" s="3" t="s">
        <v>0</v>
      </c>
      <c r="L10" s="3" t="s">
        <v>0</v>
      </c>
      <c r="M10" s="5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2" t="s">
        <v>0</v>
      </c>
      <c r="S10" s="2" t="s">
        <v>0</v>
      </c>
      <c r="T10" s="3" t="s">
        <v>0</v>
      </c>
    </row>
    <row r="11" spans="1:20">
      <c r="A11" s="5" t="s">
        <v>0</v>
      </c>
      <c r="B11" s="12">
        <v>101</v>
      </c>
      <c r="C11" s="3" t="s">
        <v>0</v>
      </c>
      <c r="D11" s="5" t="s">
        <v>0</v>
      </c>
      <c r="E11" s="5" t="s">
        <v>0</v>
      </c>
      <c r="F11" s="5" t="s">
        <v>0</v>
      </c>
      <c r="G11" s="5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5" t="s">
        <v>0</v>
      </c>
      <c r="N11" s="3" t="s">
        <v>0</v>
      </c>
      <c r="O11" s="7">
        <v>-151.1</v>
      </c>
      <c r="P11" s="7">
        <v>27.2</v>
      </c>
      <c r="Q11" s="7">
        <v>-235.6</v>
      </c>
      <c r="R11" s="2" t="s">
        <v>0</v>
      </c>
      <c r="S11" s="2" t="s">
        <v>0</v>
      </c>
      <c r="T11" s="3" t="s">
        <v>0</v>
      </c>
    </row>
    <row r="12" spans="1:20">
      <c r="A12" s="15">
        <f t="shared" ref="A12:A19" si="0">B11</f>
        <v>101</v>
      </c>
      <c r="B12" s="15">
        <f t="shared" ref="B12:B19" si="1">A12+1</f>
        <v>102</v>
      </c>
      <c r="D12" s="15">
        <v>5104</v>
      </c>
      <c r="E12" s="15">
        <v>5135</v>
      </c>
      <c r="F12" s="15">
        <v>215</v>
      </c>
      <c r="G12" s="15">
        <v>50</v>
      </c>
      <c r="I12" s="15">
        <f t="shared" ref="I12:I19" si="2">ABS(G12+2-100)</f>
        <v>48</v>
      </c>
      <c r="J12" s="15">
        <f t="shared" ref="J12:J19" si="3">-(G12+2-100)</f>
        <v>48</v>
      </c>
      <c r="L12" s="15">
        <f>(E12-D12)/10*1.02</f>
        <v>3.1620000000000004</v>
      </c>
      <c r="M12" s="15">
        <f t="shared" ref="M12:M19" si="4">(COS(I12*3.14/200))*L12</f>
        <v>2.3058259976927244</v>
      </c>
      <c r="O12" s="16">
        <f t="shared" ref="O12:O19" si="5">(SIN(F12*3.14/200))*M12+O11</f>
        <v>-151.63444486957758</v>
      </c>
      <c r="P12" s="8">
        <f t="shared" ref="P12:P19" si="6">(COS(F12*3.14/200))*M12+P11</f>
        <v>24.956965846667099</v>
      </c>
      <c r="Q12" s="16">
        <f t="shared" ref="Q12:Q19" si="7">SIN(J12*3.14/200)*L12+Q11</f>
        <v>-233.43634326466412</v>
      </c>
      <c r="R12" s="11" t="s">
        <v>2</v>
      </c>
      <c r="S12" s="11" t="s">
        <v>2</v>
      </c>
      <c r="T12" s="14" t="s">
        <v>2</v>
      </c>
    </row>
    <row r="13" spans="1:20">
      <c r="A13" s="15">
        <f t="shared" si="0"/>
        <v>102</v>
      </c>
      <c r="B13" s="15">
        <f t="shared" si="1"/>
        <v>103</v>
      </c>
      <c r="D13" s="15">
        <f>E12</f>
        <v>5135</v>
      </c>
      <c r="E13" s="15">
        <v>5190</v>
      </c>
      <c r="F13" s="15">
        <v>240</v>
      </c>
      <c r="G13" s="15">
        <v>140</v>
      </c>
      <c r="I13" s="15">
        <f t="shared" si="2"/>
        <v>42</v>
      </c>
      <c r="J13" s="15">
        <f t="shared" si="3"/>
        <v>-42</v>
      </c>
      <c r="L13" s="15">
        <f>(E13-D13)/10*1.02</f>
        <v>5.61</v>
      </c>
      <c r="M13" s="15">
        <f t="shared" si="4"/>
        <v>4.4339193721660042</v>
      </c>
      <c r="O13" s="16">
        <f t="shared" si="5"/>
        <v>-154.2337768907974</v>
      </c>
      <c r="P13" s="8">
        <f t="shared" si="6"/>
        <v>21.364875363072588</v>
      </c>
      <c r="Q13" s="16">
        <f t="shared" si="7"/>
        <v>-236.87326907141804</v>
      </c>
      <c r="R13" s="11" t="s">
        <v>2</v>
      </c>
      <c r="S13" s="11" t="s">
        <v>2</v>
      </c>
      <c r="T13" s="14" t="s">
        <v>27</v>
      </c>
    </row>
    <row r="14" spans="1:20">
      <c r="A14" s="15">
        <f t="shared" si="0"/>
        <v>103</v>
      </c>
      <c r="B14" s="15">
        <f t="shared" si="1"/>
        <v>104</v>
      </c>
      <c r="D14" s="15" t="s">
        <v>2</v>
      </c>
      <c r="E14" s="15" t="s">
        <v>2</v>
      </c>
      <c r="F14" s="15" t="s">
        <v>2</v>
      </c>
      <c r="G14" s="15">
        <v>200</v>
      </c>
      <c r="I14" s="15">
        <f t="shared" si="2"/>
        <v>102</v>
      </c>
      <c r="J14" s="15">
        <f t="shared" si="3"/>
        <v>-102</v>
      </c>
      <c r="L14" s="15">
        <v>2</v>
      </c>
      <c r="M14" s="15">
        <f t="shared" si="4"/>
        <v>-6.1197792545763054E-2</v>
      </c>
      <c r="O14" s="16" t="e">
        <f t="shared" si="5"/>
        <v>#VALUE!</v>
      </c>
      <c r="P14" s="8" t="e">
        <f t="shared" si="6"/>
        <v>#VALUE!</v>
      </c>
      <c r="Q14" s="16">
        <f t="shared" si="7"/>
        <v>-238.87233255970136</v>
      </c>
      <c r="R14" s="11" t="s">
        <v>2</v>
      </c>
      <c r="S14" s="11" t="s">
        <v>2</v>
      </c>
      <c r="T14" s="14" t="s">
        <v>28</v>
      </c>
    </row>
    <row r="15" spans="1:20">
      <c r="A15" s="15">
        <f t="shared" si="0"/>
        <v>104</v>
      </c>
      <c r="B15" s="15">
        <f t="shared" si="1"/>
        <v>105</v>
      </c>
      <c r="D15" s="15">
        <v>5190</v>
      </c>
      <c r="E15" s="15">
        <v>5260</v>
      </c>
      <c r="F15" s="15">
        <v>302</v>
      </c>
      <c r="G15" s="15">
        <v>164</v>
      </c>
      <c r="I15" s="15">
        <f t="shared" si="2"/>
        <v>66</v>
      </c>
      <c r="J15" s="15">
        <f t="shared" si="3"/>
        <v>-66</v>
      </c>
      <c r="L15" s="15">
        <f>(E15-D15)/10*1.02</f>
        <v>7.1400000000000006</v>
      </c>
      <c r="M15" s="15">
        <f t="shared" si="4"/>
        <v>3.6377852357948153</v>
      </c>
      <c r="O15" s="16" t="e">
        <f t="shared" si="5"/>
        <v>#VALUE!</v>
      </c>
      <c r="P15" s="8" t="e">
        <f t="shared" si="6"/>
        <v>#VALUE!</v>
      </c>
      <c r="Q15" s="16">
        <f t="shared" si="7"/>
        <v>-245.01611954968021</v>
      </c>
      <c r="R15" s="11" t="s">
        <v>2</v>
      </c>
      <c r="S15" s="11" t="s">
        <v>2</v>
      </c>
      <c r="T15" s="14" t="s">
        <v>29</v>
      </c>
    </row>
    <row r="16" spans="1:20">
      <c r="A16" s="15">
        <f t="shared" si="0"/>
        <v>105</v>
      </c>
      <c r="B16" s="12">
        <f t="shared" si="1"/>
        <v>106</v>
      </c>
      <c r="D16" s="15">
        <f>E15</f>
        <v>5260</v>
      </c>
      <c r="E16" s="15">
        <v>5351</v>
      </c>
      <c r="F16" s="15">
        <v>385</v>
      </c>
      <c r="G16" s="15">
        <v>190</v>
      </c>
      <c r="I16" s="15">
        <f t="shared" si="2"/>
        <v>92</v>
      </c>
      <c r="J16" s="15">
        <f t="shared" si="3"/>
        <v>-92</v>
      </c>
      <c r="L16" s="15">
        <f>(E16-D16)/10*1.02</f>
        <v>9.282</v>
      </c>
      <c r="M16" s="15">
        <f t="shared" si="4"/>
        <v>1.1700893245345234</v>
      </c>
      <c r="O16" s="16" t="e">
        <f t="shared" si="5"/>
        <v>#VALUE!</v>
      </c>
      <c r="P16" s="8" t="e">
        <f t="shared" si="6"/>
        <v>#VALUE!</v>
      </c>
      <c r="Q16" s="16">
        <f t="shared" si="7"/>
        <v>-254.22407344686118</v>
      </c>
      <c r="R16" s="11" t="s">
        <v>2</v>
      </c>
      <c r="S16" s="11" t="s">
        <v>2</v>
      </c>
      <c r="T16" s="14" t="s">
        <v>29</v>
      </c>
    </row>
    <row r="17" spans="1:256">
      <c r="A17" s="15">
        <f t="shared" si="0"/>
        <v>106</v>
      </c>
      <c r="B17" s="15">
        <f t="shared" si="1"/>
        <v>107</v>
      </c>
      <c r="D17" s="15">
        <f>E16</f>
        <v>5351</v>
      </c>
      <c r="E17" s="15">
        <v>5388</v>
      </c>
      <c r="F17" s="15">
        <v>345</v>
      </c>
      <c r="G17" s="15">
        <v>130</v>
      </c>
      <c r="I17" s="15">
        <f t="shared" si="2"/>
        <v>32</v>
      </c>
      <c r="J17" s="15">
        <f t="shared" si="3"/>
        <v>-32</v>
      </c>
      <c r="L17" s="15">
        <f>(E17-D17)/10*1.02</f>
        <v>3.7740000000000005</v>
      </c>
      <c r="M17" s="15">
        <f t="shared" si="4"/>
        <v>3.3076446094389547</v>
      </c>
      <c r="O17" s="16" t="e">
        <f t="shared" si="5"/>
        <v>#VALUE!</v>
      </c>
      <c r="P17" s="8" t="e">
        <f t="shared" si="6"/>
        <v>#VALUE!</v>
      </c>
      <c r="Q17" s="16">
        <f t="shared" si="7"/>
        <v>-256.041369002804</v>
      </c>
      <c r="R17" s="11" t="s">
        <v>2</v>
      </c>
      <c r="S17" s="11" t="s">
        <v>2</v>
      </c>
      <c r="T17" s="14" t="s">
        <v>2</v>
      </c>
    </row>
    <row r="18" spans="1:256">
      <c r="A18" s="15">
        <f t="shared" si="0"/>
        <v>107</v>
      </c>
      <c r="B18" s="15">
        <f t="shared" si="1"/>
        <v>108</v>
      </c>
      <c r="D18" s="15">
        <f>E17</f>
        <v>5388</v>
      </c>
      <c r="E18" s="15">
        <v>5488</v>
      </c>
      <c r="F18" s="15">
        <v>275</v>
      </c>
      <c r="G18" s="15">
        <v>155</v>
      </c>
      <c r="I18" s="15">
        <f t="shared" si="2"/>
        <v>57</v>
      </c>
      <c r="J18" s="15">
        <f t="shared" si="3"/>
        <v>-57</v>
      </c>
      <c r="L18" s="15">
        <f>(E18-D18)/10*1.02</f>
        <v>10.199999999999999</v>
      </c>
      <c r="M18" s="15">
        <f t="shared" si="4"/>
        <v>6.3810877085491855</v>
      </c>
      <c r="O18" s="16" t="e">
        <f t="shared" si="5"/>
        <v>#VALUE!</v>
      </c>
      <c r="P18" s="8" t="e">
        <f t="shared" si="6"/>
        <v>#VALUE!</v>
      </c>
      <c r="Q18" s="16">
        <f t="shared" si="7"/>
        <v>-263.99886356175926</v>
      </c>
      <c r="R18" s="10">
        <v>2</v>
      </c>
      <c r="S18" s="10">
        <v>1</v>
      </c>
      <c r="T18" s="13" t="s">
        <v>2</v>
      </c>
    </row>
    <row r="19" spans="1:256">
      <c r="A19" s="15">
        <f t="shared" si="0"/>
        <v>108</v>
      </c>
      <c r="B19" s="15">
        <f t="shared" si="1"/>
        <v>109</v>
      </c>
      <c r="D19" s="15">
        <f>E18</f>
        <v>5488</v>
      </c>
      <c r="E19" s="15">
        <v>5620</v>
      </c>
      <c r="F19" s="15">
        <v>307</v>
      </c>
      <c r="G19" s="15">
        <v>159</v>
      </c>
      <c r="I19" s="15">
        <f t="shared" si="2"/>
        <v>61</v>
      </c>
      <c r="J19" s="15">
        <f t="shared" si="3"/>
        <v>-61</v>
      </c>
      <c r="L19" s="15">
        <f>(E19-D19)/10*1.02</f>
        <v>13.463999999999999</v>
      </c>
      <c r="M19" s="15">
        <f t="shared" si="4"/>
        <v>7.7472207149019443</v>
      </c>
      <c r="O19" s="16" t="e">
        <f t="shared" si="5"/>
        <v>#VALUE!</v>
      </c>
      <c r="P19" s="8" t="e">
        <f t="shared" si="6"/>
        <v>#VALUE!</v>
      </c>
      <c r="Q19" s="16">
        <f t="shared" si="7"/>
        <v>-275.01066937164325</v>
      </c>
      <c r="R19" s="11" t="s">
        <v>2</v>
      </c>
      <c r="S19" s="11" t="s">
        <v>2</v>
      </c>
      <c r="T19" s="14" t="s">
        <v>30</v>
      </c>
    </row>
    <row r="20" spans="1:256">
      <c r="A20" s="6" t="s">
        <v>0</v>
      </c>
      <c r="B20" s="6" t="s">
        <v>0</v>
      </c>
      <c r="C20" s="4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4" t="s">
        <v>0</v>
      </c>
      <c r="I20" s="6" t="s">
        <v>0</v>
      </c>
      <c r="J20" s="6" t="s">
        <v>0</v>
      </c>
      <c r="K20" s="4" t="s">
        <v>0</v>
      </c>
      <c r="L20" s="6" t="s">
        <v>0</v>
      </c>
      <c r="M20" s="6" t="s">
        <v>0</v>
      </c>
      <c r="N20" s="4" t="s">
        <v>0</v>
      </c>
      <c r="O20" s="6" t="s">
        <v>0</v>
      </c>
      <c r="P20" s="6" t="s">
        <v>0</v>
      </c>
      <c r="Q20" s="6" t="s">
        <v>0</v>
      </c>
      <c r="R20" s="6" t="s">
        <v>0</v>
      </c>
      <c r="S20" s="6" t="s">
        <v>0</v>
      </c>
      <c r="T20" s="4" t="s">
        <v>0</v>
      </c>
      <c r="U20" s="4" t="s">
        <v>0</v>
      </c>
      <c r="V20" s="4" t="s">
        <v>0</v>
      </c>
      <c r="W20" s="4" t="s">
        <v>0</v>
      </c>
      <c r="X20" s="4" t="s">
        <v>0</v>
      </c>
      <c r="Y20" s="4" t="s">
        <v>0</v>
      </c>
      <c r="Z20" s="4" t="s">
        <v>0</v>
      </c>
      <c r="AA20" s="4" t="s">
        <v>0</v>
      </c>
      <c r="AB20" s="4" t="s">
        <v>0</v>
      </c>
      <c r="AC20" s="4" t="s">
        <v>0</v>
      </c>
      <c r="AD20" s="4" t="s">
        <v>0</v>
      </c>
      <c r="AE20" s="4" t="s">
        <v>0</v>
      </c>
      <c r="AF20" s="4" t="s">
        <v>0</v>
      </c>
      <c r="AG20" s="4" t="s">
        <v>0</v>
      </c>
      <c r="AH20" s="4" t="s">
        <v>0</v>
      </c>
      <c r="AI20" s="4" t="s">
        <v>0</v>
      </c>
      <c r="AJ20" s="4" t="s">
        <v>0</v>
      </c>
      <c r="AK20" s="4" t="s">
        <v>0</v>
      </c>
      <c r="AL20" s="4" t="s">
        <v>0</v>
      </c>
      <c r="AM20" s="4" t="s">
        <v>0</v>
      </c>
      <c r="AN20" s="4" t="s">
        <v>0</v>
      </c>
      <c r="AO20" s="4" t="s">
        <v>0</v>
      </c>
      <c r="AP20" s="4" t="s">
        <v>0</v>
      </c>
      <c r="AQ20" s="4" t="s">
        <v>0</v>
      </c>
      <c r="AR20" s="4" t="s">
        <v>0</v>
      </c>
      <c r="AS20" s="4" t="s">
        <v>0</v>
      </c>
      <c r="AT20" s="4" t="s">
        <v>0</v>
      </c>
      <c r="AU20" s="4" t="s">
        <v>0</v>
      </c>
      <c r="AV20" s="4" t="s">
        <v>0</v>
      </c>
      <c r="AW20" s="4" t="s">
        <v>0</v>
      </c>
      <c r="AX20" s="4" t="s">
        <v>0</v>
      </c>
      <c r="AY20" s="4" t="s">
        <v>0</v>
      </c>
      <c r="AZ20" s="4" t="s">
        <v>0</v>
      </c>
      <c r="BA20" s="4" t="s">
        <v>0</v>
      </c>
      <c r="BB20" s="4" t="s">
        <v>0</v>
      </c>
      <c r="BC20" s="4" t="s">
        <v>0</v>
      </c>
      <c r="BD20" s="4" t="s">
        <v>0</v>
      </c>
      <c r="BE20" s="4" t="s">
        <v>0</v>
      </c>
      <c r="BF20" s="4" t="s">
        <v>0</v>
      </c>
      <c r="BG20" s="4" t="s">
        <v>0</v>
      </c>
      <c r="BH20" s="4" t="s">
        <v>0</v>
      </c>
      <c r="BI20" s="4" t="s">
        <v>0</v>
      </c>
      <c r="BJ20" s="4" t="s">
        <v>0</v>
      </c>
      <c r="BK20" s="4" t="s">
        <v>0</v>
      </c>
      <c r="BL20" s="4" t="s">
        <v>0</v>
      </c>
      <c r="BM20" s="4" t="s">
        <v>0</v>
      </c>
      <c r="BN20" s="4" t="s">
        <v>0</v>
      </c>
      <c r="BO20" s="4" t="s">
        <v>0</v>
      </c>
      <c r="BP20" s="4" t="s">
        <v>0</v>
      </c>
      <c r="BQ20" s="4" t="s">
        <v>0</v>
      </c>
      <c r="BR20" s="4" t="s">
        <v>0</v>
      </c>
      <c r="BS20" s="4" t="s">
        <v>0</v>
      </c>
      <c r="BT20" s="4" t="s">
        <v>0</v>
      </c>
      <c r="BU20" s="4" t="s">
        <v>0</v>
      </c>
      <c r="BV20" s="4" t="s">
        <v>0</v>
      </c>
      <c r="BW20" s="4" t="s">
        <v>0</v>
      </c>
      <c r="BX20" s="4" t="s">
        <v>0</v>
      </c>
      <c r="BY20" s="4" t="s">
        <v>0</v>
      </c>
      <c r="BZ20" s="4" t="s">
        <v>0</v>
      </c>
      <c r="CA20" s="4" t="s">
        <v>0</v>
      </c>
      <c r="CB20" s="4" t="s">
        <v>0</v>
      </c>
      <c r="CC20" s="4" t="s">
        <v>0</v>
      </c>
      <c r="CD20" s="4" t="s">
        <v>0</v>
      </c>
      <c r="CE20" s="4" t="s">
        <v>0</v>
      </c>
      <c r="CF20" s="4" t="s">
        <v>0</v>
      </c>
      <c r="CG20" s="4" t="s">
        <v>0</v>
      </c>
      <c r="CH20" s="4" t="s">
        <v>0</v>
      </c>
      <c r="CI20" s="4" t="s">
        <v>0</v>
      </c>
      <c r="CJ20" s="4" t="s">
        <v>0</v>
      </c>
      <c r="CK20" s="4" t="s">
        <v>0</v>
      </c>
      <c r="CL20" s="4" t="s">
        <v>0</v>
      </c>
      <c r="CM20" s="4" t="s">
        <v>0</v>
      </c>
      <c r="CN20" s="4" t="s">
        <v>0</v>
      </c>
      <c r="CO20" s="4" t="s">
        <v>0</v>
      </c>
      <c r="CP20" s="4" t="s">
        <v>0</v>
      </c>
      <c r="CQ20" s="4" t="s">
        <v>0</v>
      </c>
      <c r="CR20" s="4" t="s">
        <v>0</v>
      </c>
      <c r="CS20" s="4" t="s">
        <v>0</v>
      </c>
      <c r="CT20" s="4" t="s">
        <v>0</v>
      </c>
      <c r="CU20" s="4" t="s">
        <v>0</v>
      </c>
      <c r="CV20" s="4" t="s">
        <v>0</v>
      </c>
      <c r="CW20" s="4" t="s">
        <v>0</v>
      </c>
      <c r="CX20" s="4" t="s">
        <v>0</v>
      </c>
      <c r="CY20" s="4" t="s">
        <v>0</v>
      </c>
      <c r="CZ20" s="4" t="s">
        <v>0</v>
      </c>
      <c r="DA20" s="4" t="s">
        <v>0</v>
      </c>
      <c r="DB20" s="4" t="s">
        <v>0</v>
      </c>
      <c r="DC20" s="4" t="s">
        <v>0</v>
      </c>
      <c r="DD20" s="4" t="s">
        <v>0</v>
      </c>
      <c r="DE20" s="4" t="s">
        <v>0</v>
      </c>
      <c r="DF20" s="4" t="s">
        <v>0</v>
      </c>
      <c r="DG20" s="4" t="s">
        <v>0</v>
      </c>
      <c r="DH20" s="4" t="s">
        <v>0</v>
      </c>
      <c r="DI20" s="4" t="s">
        <v>0</v>
      </c>
      <c r="DJ20" s="4" t="s">
        <v>0</v>
      </c>
      <c r="DK20" s="4" t="s">
        <v>0</v>
      </c>
      <c r="DL20" s="4" t="s">
        <v>0</v>
      </c>
      <c r="DM20" s="4" t="s">
        <v>0</v>
      </c>
      <c r="DN20" s="4" t="s">
        <v>0</v>
      </c>
      <c r="DO20" s="4" t="s">
        <v>0</v>
      </c>
      <c r="DP20" s="4" t="s">
        <v>0</v>
      </c>
      <c r="DQ20" s="4" t="s">
        <v>0</v>
      </c>
      <c r="DR20" s="4" t="s">
        <v>0</v>
      </c>
      <c r="DS20" s="4" t="s">
        <v>0</v>
      </c>
      <c r="DT20" s="4" t="s">
        <v>0</v>
      </c>
      <c r="DU20" s="4" t="s">
        <v>0</v>
      </c>
      <c r="DV20" s="4" t="s">
        <v>0</v>
      </c>
      <c r="DW20" s="4" t="s">
        <v>0</v>
      </c>
      <c r="DX20" s="4" t="s">
        <v>0</v>
      </c>
      <c r="DY20" s="4" t="s">
        <v>0</v>
      </c>
      <c r="DZ20" s="4" t="s">
        <v>0</v>
      </c>
      <c r="EA20" s="4" t="s">
        <v>0</v>
      </c>
      <c r="EB20" s="4" t="s">
        <v>0</v>
      </c>
      <c r="EC20" s="4" t="s">
        <v>0</v>
      </c>
      <c r="ED20" s="4" t="s">
        <v>0</v>
      </c>
      <c r="EE20" s="4" t="s">
        <v>0</v>
      </c>
      <c r="EF20" s="4" t="s">
        <v>0</v>
      </c>
      <c r="EG20" s="4" t="s">
        <v>0</v>
      </c>
      <c r="EH20" s="4" t="s">
        <v>0</v>
      </c>
      <c r="EI20" s="4" t="s">
        <v>0</v>
      </c>
      <c r="EJ20" s="4" t="s">
        <v>0</v>
      </c>
      <c r="EK20" s="4" t="s">
        <v>0</v>
      </c>
      <c r="EL20" s="4" t="s">
        <v>0</v>
      </c>
      <c r="EM20" s="4" t="s">
        <v>0</v>
      </c>
      <c r="EN20" s="4" t="s">
        <v>0</v>
      </c>
      <c r="EO20" s="4" t="s">
        <v>0</v>
      </c>
      <c r="EP20" s="4" t="s">
        <v>0</v>
      </c>
      <c r="EQ20" s="4" t="s">
        <v>0</v>
      </c>
      <c r="ER20" s="4" t="s">
        <v>0</v>
      </c>
      <c r="ES20" s="4" t="s">
        <v>0</v>
      </c>
      <c r="ET20" s="4" t="s">
        <v>0</v>
      </c>
      <c r="EU20" s="4" t="s">
        <v>0</v>
      </c>
      <c r="EV20" s="4" t="s">
        <v>0</v>
      </c>
      <c r="EW20" s="4" t="s">
        <v>0</v>
      </c>
      <c r="EX20" s="4" t="s">
        <v>0</v>
      </c>
      <c r="EY20" s="4" t="s">
        <v>0</v>
      </c>
      <c r="EZ20" s="4" t="s">
        <v>0</v>
      </c>
      <c r="FA20" s="4" t="s">
        <v>0</v>
      </c>
      <c r="FB20" s="4" t="s">
        <v>0</v>
      </c>
      <c r="FC20" s="4" t="s">
        <v>0</v>
      </c>
      <c r="FD20" s="4" t="s">
        <v>0</v>
      </c>
      <c r="FE20" s="4" t="s">
        <v>0</v>
      </c>
      <c r="FF20" s="4" t="s">
        <v>0</v>
      </c>
      <c r="FG20" s="4" t="s">
        <v>0</v>
      </c>
      <c r="FH20" s="4" t="s">
        <v>0</v>
      </c>
      <c r="FI20" s="4" t="s">
        <v>0</v>
      </c>
      <c r="FJ20" s="4" t="s">
        <v>0</v>
      </c>
      <c r="FK20" s="4" t="s">
        <v>0</v>
      </c>
      <c r="FL20" s="4" t="s">
        <v>0</v>
      </c>
      <c r="FM20" s="4" t="s">
        <v>0</v>
      </c>
      <c r="FN20" s="4" t="s">
        <v>0</v>
      </c>
      <c r="FO20" s="4" t="s">
        <v>0</v>
      </c>
      <c r="FP20" s="4" t="s">
        <v>0</v>
      </c>
      <c r="FQ20" s="4" t="s">
        <v>0</v>
      </c>
      <c r="FR20" s="4" t="s">
        <v>0</v>
      </c>
      <c r="FS20" s="4" t="s">
        <v>0</v>
      </c>
      <c r="FT20" s="4" t="s">
        <v>0</v>
      </c>
      <c r="FU20" s="4" t="s">
        <v>0</v>
      </c>
      <c r="FV20" s="4" t="s">
        <v>0</v>
      </c>
      <c r="FW20" s="4" t="s">
        <v>0</v>
      </c>
      <c r="FX20" s="4" t="s">
        <v>0</v>
      </c>
      <c r="FY20" s="4" t="s">
        <v>0</v>
      </c>
      <c r="FZ20" s="4" t="s">
        <v>0</v>
      </c>
      <c r="GA20" s="4" t="s">
        <v>0</v>
      </c>
      <c r="GB20" s="4" t="s">
        <v>0</v>
      </c>
      <c r="GC20" s="4" t="s">
        <v>0</v>
      </c>
      <c r="GD20" s="4" t="s">
        <v>0</v>
      </c>
      <c r="GE20" s="4" t="s">
        <v>0</v>
      </c>
      <c r="GF20" s="4" t="s">
        <v>0</v>
      </c>
      <c r="GG20" s="4" t="s">
        <v>0</v>
      </c>
      <c r="GH20" s="4" t="s">
        <v>0</v>
      </c>
      <c r="GI20" s="4" t="s">
        <v>0</v>
      </c>
      <c r="GJ20" s="4" t="s">
        <v>0</v>
      </c>
      <c r="GK20" s="4" t="s">
        <v>0</v>
      </c>
      <c r="GL20" s="4" t="s">
        <v>0</v>
      </c>
      <c r="GM20" s="4" t="s">
        <v>0</v>
      </c>
      <c r="GN20" s="4" t="s">
        <v>0</v>
      </c>
      <c r="GO20" s="4" t="s">
        <v>0</v>
      </c>
      <c r="GP20" s="4" t="s">
        <v>0</v>
      </c>
      <c r="GQ20" s="4" t="s">
        <v>0</v>
      </c>
      <c r="GR20" s="4" t="s">
        <v>0</v>
      </c>
      <c r="GS20" s="4" t="s">
        <v>0</v>
      </c>
      <c r="GT20" s="4" t="s">
        <v>0</v>
      </c>
      <c r="GU20" s="4" t="s">
        <v>0</v>
      </c>
      <c r="GV20" s="4" t="s">
        <v>0</v>
      </c>
      <c r="GW20" s="4" t="s">
        <v>0</v>
      </c>
      <c r="GX20" s="4" t="s">
        <v>0</v>
      </c>
      <c r="GY20" s="4" t="s">
        <v>0</v>
      </c>
      <c r="GZ20" s="4" t="s">
        <v>0</v>
      </c>
      <c r="HA20" s="4" t="s">
        <v>0</v>
      </c>
      <c r="HB20" s="4" t="s">
        <v>0</v>
      </c>
      <c r="HC20" s="4" t="s">
        <v>0</v>
      </c>
      <c r="HD20" s="4" t="s">
        <v>0</v>
      </c>
      <c r="HE20" s="4" t="s">
        <v>0</v>
      </c>
      <c r="HF20" s="4" t="s">
        <v>0</v>
      </c>
      <c r="HG20" s="4" t="s">
        <v>0</v>
      </c>
      <c r="HH20" s="4" t="s">
        <v>0</v>
      </c>
      <c r="HI20" s="4" t="s">
        <v>0</v>
      </c>
      <c r="HJ20" s="4" t="s">
        <v>0</v>
      </c>
      <c r="HK20" s="4" t="s">
        <v>0</v>
      </c>
      <c r="HL20" s="4" t="s">
        <v>0</v>
      </c>
      <c r="HM20" s="4" t="s">
        <v>0</v>
      </c>
      <c r="HN20" s="4" t="s">
        <v>0</v>
      </c>
      <c r="HO20" s="4" t="s">
        <v>0</v>
      </c>
      <c r="HP20" s="4" t="s">
        <v>0</v>
      </c>
      <c r="HQ20" s="4" t="s">
        <v>0</v>
      </c>
      <c r="HR20" s="4" t="s">
        <v>0</v>
      </c>
      <c r="HS20" s="4" t="s">
        <v>0</v>
      </c>
      <c r="HT20" s="4" t="s">
        <v>0</v>
      </c>
      <c r="HU20" s="4" t="s">
        <v>0</v>
      </c>
      <c r="HV20" s="4" t="s">
        <v>0</v>
      </c>
      <c r="HW20" s="4" t="s">
        <v>0</v>
      </c>
      <c r="HX20" s="4" t="s">
        <v>0</v>
      </c>
      <c r="HY20" s="4" t="s">
        <v>0</v>
      </c>
      <c r="HZ20" s="4" t="s">
        <v>0</v>
      </c>
      <c r="IA20" s="4" t="s">
        <v>0</v>
      </c>
      <c r="IB20" s="4" t="s">
        <v>0</v>
      </c>
      <c r="IC20" s="4" t="s">
        <v>0</v>
      </c>
      <c r="ID20" s="4" t="s">
        <v>0</v>
      </c>
      <c r="IE20" s="4" t="s">
        <v>0</v>
      </c>
      <c r="IF20" s="4" t="s">
        <v>0</v>
      </c>
      <c r="IG20" s="4" t="s">
        <v>0</v>
      </c>
      <c r="IH20" s="4" t="s">
        <v>0</v>
      </c>
      <c r="II20" s="4" t="s">
        <v>0</v>
      </c>
      <c r="IJ20" s="4" t="s">
        <v>0</v>
      </c>
      <c r="IK20" s="4" t="s">
        <v>0</v>
      </c>
      <c r="IL20" s="4" t="s">
        <v>0</v>
      </c>
      <c r="IM20" s="4" t="s">
        <v>0</v>
      </c>
      <c r="IN20" s="4" t="s">
        <v>0</v>
      </c>
      <c r="IO20" s="4" t="s">
        <v>0</v>
      </c>
      <c r="IP20" s="4" t="s">
        <v>0</v>
      </c>
      <c r="IQ20" s="4" t="s">
        <v>0</v>
      </c>
      <c r="IR20" s="4" t="s">
        <v>0</v>
      </c>
      <c r="IS20" s="4" t="s">
        <v>0</v>
      </c>
      <c r="IT20" s="4" t="s">
        <v>0</v>
      </c>
      <c r="IU20" s="4" t="s">
        <v>0</v>
      </c>
      <c r="IV20" s="4" t="s">
        <v>0</v>
      </c>
    </row>
    <row r="21" spans="1:256">
      <c r="A21" s="6" t="s">
        <v>0</v>
      </c>
      <c r="B21" s="12">
        <v>106</v>
      </c>
      <c r="C21" s="3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3" t="s">
        <v>0</v>
      </c>
      <c r="I21" s="5" t="s">
        <v>0</v>
      </c>
      <c r="J21" s="5" t="s">
        <v>0</v>
      </c>
      <c r="K21" s="3" t="s">
        <v>0</v>
      </c>
      <c r="L21" s="5" t="s">
        <v>0</v>
      </c>
      <c r="M21" s="5" t="s">
        <v>0</v>
      </c>
      <c r="N21" s="3" t="s">
        <v>0</v>
      </c>
      <c r="O21" s="16">
        <v>-158.1</v>
      </c>
      <c r="P21" s="8">
        <v>22.5</v>
      </c>
      <c r="Q21" s="16">
        <v>-254.2</v>
      </c>
      <c r="R21" s="6" t="s">
        <v>0</v>
      </c>
      <c r="S21" s="6" t="s">
        <v>0</v>
      </c>
      <c r="T21" s="4" t="s">
        <v>0</v>
      </c>
      <c r="U21" s="4" t="s">
        <v>0</v>
      </c>
      <c r="V21" s="4" t="s">
        <v>0</v>
      </c>
      <c r="W21" s="4" t="s">
        <v>0</v>
      </c>
      <c r="X21" s="4" t="s">
        <v>0</v>
      </c>
      <c r="Y21" s="4" t="s">
        <v>0</v>
      </c>
      <c r="Z21" s="4" t="s">
        <v>0</v>
      </c>
      <c r="AA21" s="4" t="s">
        <v>0</v>
      </c>
      <c r="AB21" s="4" t="s">
        <v>0</v>
      </c>
      <c r="AC21" s="4" t="s">
        <v>0</v>
      </c>
      <c r="AD21" s="4" t="s">
        <v>0</v>
      </c>
      <c r="AE21" s="4" t="s">
        <v>0</v>
      </c>
      <c r="AF21" s="4" t="s">
        <v>0</v>
      </c>
      <c r="AG21" s="4" t="s">
        <v>0</v>
      </c>
      <c r="AH21" s="4" t="s">
        <v>0</v>
      </c>
      <c r="AI21" s="4" t="s">
        <v>0</v>
      </c>
      <c r="AJ21" s="4" t="s">
        <v>0</v>
      </c>
      <c r="AK21" s="4" t="s">
        <v>0</v>
      </c>
      <c r="AL21" s="4" t="s">
        <v>0</v>
      </c>
      <c r="AM21" s="4" t="s">
        <v>0</v>
      </c>
      <c r="AN21" s="4" t="s">
        <v>0</v>
      </c>
      <c r="AO21" s="4" t="s">
        <v>0</v>
      </c>
      <c r="AP21" s="4" t="s">
        <v>0</v>
      </c>
      <c r="AQ21" s="4" t="s">
        <v>0</v>
      </c>
      <c r="AR21" s="4" t="s">
        <v>0</v>
      </c>
      <c r="AS21" s="4" t="s">
        <v>0</v>
      </c>
      <c r="AT21" s="4" t="s">
        <v>0</v>
      </c>
      <c r="AU21" s="4" t="s">
        <v>0</v>
      </c>
      <c r="AV21" s="4" t="s">
        <v>0</v>
      </c>
      <c r="AW21" s="4" t="s">
        <v>0</v>
      </c>
      <c r="AX21" s="4" t="s">
        <v>0</v>
      </c>
      <c r="AY21" s="4" t="s">
        <v>0</v>
      </c>
      <c r="AZ21" s="4" t="s">
        <v>0</v>
      </c>
      <c r="BA21" s="4" t="s">
        <v>0</v>
      </c>
      <c r="BB21" s="4" t="s">
        <v>0</v>
      </c>
      <c r="BC21" s="4" t="s">
        <v>0</v>
      </c>
      <c r="BD21" s="4" t="s">
        <v>0</v>
      </c>
      <c r="BE21" s="4" t="s">
        <v>0</v>
      </c>
      <c r="BF21" s="4" t="s">
        <v>0</v>
      </c>
      <c r="BG21" s="4" t="s">
        <v>0</v>
      </c>
      <c r="BH21" s="4" t="s">
        <v>0</v>
      </c>
      <c r="BI21" s="4" t="s">
        <v>0</v>
      </c>
      <c r="BJ21" s="4" t="s">
        <v>0</v>
      </c>
      <c r="BK21" s="4" t="s">
        <v>0</v>
      </c>
      <c r="BL21" s="4" t="s">
        <v>0</v>
      </c>
      <c r="BM21" s="4" t="s">
        <v>0</v>
      </c>
      <c r="BN21" s="4" t="s">
        <v>0</v>
      </c>
      <c r="BO21" s="4" t="s">
        <v>0</v>
      </c>
      <c r="BP21" s="4" t="s">
        <v>0</v>
      </c>
      <c r="BQ21" s="4" t="s">
        <v>0</v>
      </c>
      <c r="BR21" s="4" t="s">
        <v>0</v>
      </c>
      <c r="BS21" s="4" t="s">
        <v>0</v>
      </c>
      <c r="BT21" s="4" t="s">
        <v>0</v>
      </c>
      <c r="BU21" s="4" t="s">
        <v>0</v>
      </c>
      <c r="BV21" s="4" t="s">
        <v>0</v>
      </c>
      <c r="BW21" s="4" t="s">
        <v>0</v>
      </c>
      <c r="BX21" s="4" t="s">
        <v>0</v>
      </c>
      <c r="BY21" s="4" t="s">
        <v>0</v>
      </c>
      <c r="BZ21" s="4" t="s">
        <v>0</v>
      </c>
      <c r="CA21" s="4" t="s">
        <v>0</v>
      </c>
      <c r="CB21" s="4" t="s">
        <v>0</v>
      </c>
      <c r="CC21" s="4" t="s">
        <v>0</v>
      </c>
      <c r="CD21" s="4" t="s">
        <v>0</v>
      </c>
      <c r="CE21" s="4" t="s">
        <v>0</v>
      </c>
      <c r="CF21" s="4" t="s">
        <v>0</v>
      </c>
      <c r="CG21" s="4" t="s">
        <v>0</v>
      </c>
      <c r="CH21" s="4" t="s">
        <v>0</v>
      </c>
      <c r="CI21" s="4" t="s">
        <v>0</v>
      </c>
      <c r="CJ21" s="4" t="s">
        <v>0</v>
      </c>
      <c r="CK21" s="4" t="s">
        <v>0</v>
      </c>
      <c r="CL21" s="4" t="s">
        <v>0</v>
      </c>
      <c r="CM21" s="4" t="s">
        <v>0</v>
      </c>
      <c r="CN21" s="4" t="s">
        <v>0</v>
      </c>
      <c r="CO21" s="4" t="s">
        <v>0</v>
      </c>
      <c r="CP21" s="4" t="s">
        <v>0</v>
      </c>
      <c r="CQ21" s="4" t="s">
        <v>0</v>
      </c>
      <c r="CR21" s="4" t="s">
        <v>0</v>
      </c>
      <c r="CS21" s="4" t="s">
        <v>0</v>
      </c>
      <c r="CT21" s="4" t="s">
        <v>0</v>
      </c>
      <c r="CU21" s="4" t="s">
        <v>0</v>
      </c>
      <c r="CV21" s="4" t="s">
        <v>0</v>
      </c>
      <c r="CW21" s="4" t="s">
        <v>0</v>
      </c>
      <c r="CX21" s="4" t="s">
        <v>0</v>
      </c>
      <c r="CY21" s="4" t="s">
        <v>0</v>
      </c>
      <c r="CZ21" s="4" t="s">
        <v>0</v>
      </c>
      <c r="DA21" s="4" t="s">
        <v>0</v>
      </c>
      <c r="DB21" s="4" t="s">
        <v>0</v>
      </c>
      <c r="DC21" s="4" t="s">
        <v>0</v>
      </c>
      <c r="DD21" s="4" t="s">
        <v>0</v>
      </c>
      <c r="DE21" s="4" t="s">
        <v>0</v>
      </c>
      <c r="DF21" s="4" t="s">
        <v>0</v>
      </c>
      <c r="DG21" s="4" t="s">
        <v>0</v>
      </c>
      <c r="DH21" s="4" t="s">
        <v>0</v>
      </c>
      <c r="DI21" s="4" t="s">
        <v>0</v>
      </c>
      <c r="DJ21" s="4" t="s">
        <v>0</v>
      </c>
      <c r="DK21" s="4" t="s">
        <v>0</v>
      </c>
      <c r="DL21" s="4" t="s">
        <v>0</v>
      </c>
      <c r="DM21" s="4" t="s">
        <v>0</v>
      </c>
      <c r="DN21" s="4" t="s">
        <v>0</v>
      </c>
      <c r="DO21" s="4" t="s">
        <v>0</v>
      </c>
      <c r="DP21" s="4" t="s">
        <v>0</v>
      </c>
      <c r="DQ21" s="4" t="s">
        <v>0</v>
      </c>
      <c r="DR21" s="4" t="s">
        <v>0</v>
      </c>
      <c r="DS21" s="4" t="s">
        <v>0</v>
      </c>
      <c r="DT21" s="4" t="s">
        <v>0</v>
      </c>
      <c r="DU21" s="4" t="s">
        <v>0</v>
      </c>
      <c r="DV21" s="4" t="s">
        <v>0</v>
      </c>
      <c r="DW21" s="4" t="s">
        <v>0</v>
      </c>
      <c r="DX21" s="4" t="s">
        <v>0</v>
      </c>
      <c r="DY21" s="4" t="s">
        <v>0</v>
      </c>
      <c r="DZ21" s="4" t="s">
        <v>0</v>
      </c>
      <c r="EA21" s="4" t="s">
        <v>0</v>
      </c>
      <c r="EB21" s="4" t="s">
        <v>0</v>
      </c>
      <c r="EC21" s="4" t="s">
        <v>0</v>
      </c>
      <c r="ED21" s="4" t="s">
        <v>0</v>
      </c>
      <c r="EE21" s="4" t="s">
        <v>0</v>
      </c>
      <c r="EF21" s="4" t="s">
        <v>0</v>
      </c>
      <c r="EG21" s="4" t="s">
        <v>0</v>
      </c>
      <c r="EH21" s="4" t="s">
        <v>0</v>
      </c>
      <c r="EI21" s="4" t="s">
        <v>0</v>
      </c>
      <c r="EJ21" s="4" t="s">
        <v>0</v>
      </c>
      <c r="EK21" s="4" t="s">
        <v>0</v>
      </c>
      <c r="EL21" s="4" t="s">
        <v>0</v>
      </c>
      <c r="EM21" s="4" t="s">
        <v>0</v>
      </c>
      <c r="EN21" s="4" t="s">
        <v>0</v>
      </c>
      <c r="EO21" s="4" t="s">
        <v>0</v>
      </c>
      <c r="EP21" s="4" t="s">
        <v>0</v>
      </c>
      <c r="EQ21" s="4" t="s">
        <v>0</v>
      </c>
      <c r="ER21" s="4" t="s">
        <v>0</v>
      </c>
      <c r="ES21" s="4" t="s">
        <v>0</v>
      </c>
      <c r="ET21" s="4" t="s">
        <v>0</v>
      </c>
      <c r="EU21" s="4" t="s">
        <v>0</v>
      </c>
      <c r="EV21" s="4" t="s">
        <v>0</v>
      </c>
      <c r="EW21" s="4" t="s">
        <v>0</v>
      </c>
      <c r="EX21" s="4" t="s">
        <v>0</v>
      </c>
      <c r="EY21" s="4" t="s">
        <v>0</v>
      </c>
      <c r="EZ21" s="4" t="s">
        <v>0</v>
      </c>
      <c r="FA21" s="4" t="s">
        <v>0</v>
      </c>
      <c r="FB21" s="4" t="s">
        <v>0</v>
      </c>
      <c r="FC21" s="4" t="s">
        <v>0</v>
      </c>
      <c r="FD21" s="4" t="s">
        <v>0</v>
      </c>
      <c r="FE21" s="4" t="s">
        <v>0</v>
      </c>
      <c r="FF21" s="4" t="s">
        <v>0</v>
      </c>
      <c r="FG21" s="4" t="s">
        <v>0</v>
      </c>
      <c r="FH21" s="4" t="s">
        <v>0</v>
      </c>
      <c r="FI21" s="4" t="s">
        <v>0</v>
      </c>
      <c r="FJ21" s="4" t="s">
        <v>0</v>
      </c>
      <c r="FK21" s="4" t="s">
        <v>0</v>
      </c>
      <c r="FL21" s="4" t="s">
        <v>0</v>
      </c>
      <c r="FM21" s="4" t="s">
        <v>0</v>
      </c>
      <c r="FN21" s="4" t="s">
        <v>0</v>
      </c>
      <c r="FO21" s="4" t="s">
        <v>0</v>
      </c>
      <c r="FP21" s="4" t="s">
        <v>0</v>
      </c>
      <c r="FQ21" s="4" t="s">
        <v>0</v>
      </c>
      <c r="FR21" s="4" t="s">
        <v>0</v>
      </c>
      <c r="FS21" s="4" t="s">
        <v>0</v>
      </c>
      <c r="FT21" s="4" t="s">
        <v>0</v>
      </c>
      <c r="FU21" s="4" t="s">
        <v>0</v>
      </c>
      <c r="FV21" s="4" t="s">
        <v>0</v>
      </c>
      <c r="FW21" s="4" t="s">
        <v>0</v>
      </c>
      <c r="FX21" s="4" t="s">
        <v>0</v>
      </c>
      <c r="FY21" s="4" t="s">
        <v>0</v>
      </c>
      <c r="FZ21" s="4" t="s">
        <v>0</v>
      </c>
      <c r="GA21" s="4" t="s">
        <v>0</v>
      </c>
      <c r="GB21" s="4" t="s">
        <v>0</v>
      </c>
      <c r="GC21" s="4" t="s">
        <v>0</v>
      </c>
      <c r="GD21" s="4" t="s">
        <v>0</v>
      </c>
      <c r="GE21" s="4" t="s">
        <v>0</v>
      </c>
      <c r="GF21" s="4" t="s">
        <v>0</v>
      </c>
      <c r="GG21" s="4" t="s">
        <v>0</v>
      </c>
      <c r="GH21" s="4" t="s">
        <v>0</v>
      </c>
      <c r="GI21" s="4" t="s">
        <v>0</v>
      </c>
      <c r="GJ21" s="4" t="s">
        <v>0</v>
      </c>
      <c r="GK21" s="4" t="s">
        <v>0</v>
      </c>
      <c r="GL21" s="4" t="s">
        <v>0</v>
      </c>
      <c r="GM21" s="4" t="s">
        <v>0</v>
      </c>
      <c r="GN21" s="4" t="s">
        <v>0</v>
      </c>
      <c r="GO21" s="4" t="s">
        <v>0</v>
      </c>
      <c r="GP21" s="4" t="s">
        <v>0</v>
      </c>
      <c r="GQ21" s="4" t="s">
        <v>0</v>
      </c>
      <c r="GR21" s="4" t="s">
        <v>0</v>
      </c>
      <c r="GS21" s="4" t="s">
        <v>0</v>
      </c>
      <c r="GT21" s="4" t="s">
        <v>0</v>
      </c>
      <c r="GU21" s="4" t="s">
        <v>0</v>
      </c>
      <c r="GV21" s="4" t="s">
        <v>0</v>
      </c>
      <c r="GW21" s="4" t="s">
        <v>0</v>
      </c>
      <c r="GX21" s="4" t="s">
        <v>0</v>
      </c>
      <c r="GY21" s="4" t="s">
        <v>0</v>
      </c>
      <c r="GZ21" s="4" t="s">
        <v>0</v>
      </c>
      <c r="HA21" s="4" t="s">
        <v>0</v>
      </c>
      <c r="HB21" s="4" t="s">
        <v>0</v>
      </c>
      <c r="HC21" s="4" t="s">
        <v>0</v>
      </c>
      <c r="HD21" s="4" t="s">
        <v>0</v>
      </c>
      <c r="HE21" s="4" t="s">
        <v>0</v>
      </c>
      <c r="HF21" s="4" t="s">
        <v>0</v>
      </c>
      <c r="HG21" s="4" t="s">
        <v>0</v>
      </c>
      <c r="HH21" s="4" t="s">
        <v>0</v>
      </c>
      <c r="HI21" s="4" t="s">
        <v>0</v>
      </c>
      <c r="HJ21" s="4" t="s">
        <v>0</v>
      </c>
      <c r="HK21" s="4" t="s">
        <v>0</v>
      </c>
      <c r="HL21" s="4" t="s">
        <v>0</v>
      </c>
      <c r="HM21" s="4" t="s">
        <v>0</v>
      </c>
      <c r="HN21" s="4" t="s">
        <v>0</v>
      </c>
      <c r="HO21" s="4" t="s">
        <v>0</v>
      </c>
      <c r="HP21" s="4" t="s">
        <v>0</v>
      </c>
      <c r="HQ21" s="4" t="s">
        <v>0</v>
      </c>
      <c r="HR21" s="4" t="s">
        <v>0</v>
      </c>
      <c r="HS21" s="4" t="s">
        <v>0</v>
      </c>
      <c r="HT21" s="4" t="s">
        <v>0</v>
      </c>
      <c r="HU21" s="4" t="s">
        <v>0</v>
      </c>
      <c r="HV21" s="4" t="s">
        <v>0</v>
      </c>
      <c r="HW21" s="4" t="s">
        <v>0</v>
      </c>
      <c r="HX21" s="4" t="s">
        <v>0</v>
      </c>
      <c r="HY21" s="4" t="s">
        <v>0</v>
      </c>
      <c r="HZ21" s="4" t="s">
        <v>0</v>
      </c>
      <c r="IA21" s="4" t="s">
        <v>0</v>
      </c>
      <c r="IB21" s="4" t="s">
        <v>0</v>
      </c>
      <c r="IC21" s="4" t="s">
        <v>0</v>
      </c>
      <c r="ID21" s="4" t="s">
        <v>0</v>
      </c>
      <c r="IE21" s="4" t="s">
        <v>0</v>
      </c>
      <c r="IF21" s="4" t="s">
        <v>0</v>
      </c>
      <c r="IG21" s="4" t="s">
        <v>0</v>
      </c>
      <c r="IH21" s="4" t="s">
        <v>0</v>
      </c>
      <c r="II21" s="4" t="s">
        <v>0</v>
      </c>
      <c r="IJ21" s="4" t="s">
        <v>0</v>
      </c>
      <c r="IK21" s="4" t="s">
        <v>0</v>
      </c>
      <c r="IL21" s="4" t="s">
        <v>0</v>
      </c>
      <c r="IM21" s="4" t="s">
        <v>0</v>
      </c>
      <c r="IN21" s="4" t="s">
        <v>0</v>
      </c>
      <c r="IO21" s="4" t="s">
        <v>0</v>
      </c>
      <c r="IP21" s="4" t="s">
        <v>0</v>
      </c>
      <c r="IQ21" s="4" t="s">
        <v>0</v>
      </c>
      <c r="IR21" s="4" t="s">
        <v>0</v>
      </c>
      <c r="IS21" s="4" t="s">
        <v>0</v>
      </c>
      <c r="IT21" s="4" t="s">
        <v>0</v>
      </c>
      <c r="IU21" s="4" t="s">
        <v>0</v>
      </c>
      <c r="IV21" s="4" t="s">
        <v>0</v>
      </c>
    </row>
    <row r="22" spans="1:256">
      <c r="A22" s="12">
        <v>106</v>
      </c>
      <c r="B22" s="15">
        <v>110</v>
      </c>
      <c r="D22" s="15">
        <f>E19</f>
        <v>5620</v>
      </c>
      <c r="E22" s="15">
        <v>5669</v>
      </c>
      <c r="F22" s="15" t="s">
        <v>2</v>
      </c>
      <c r="G22" s="15">
        <v>200</v>
      </c>
      <c r="I22" s="15">
        <f>ABS(G22+2-100)</f>
        <v>102</v>
      </c>
      <c r="J22" s="15">
        <f>-(G22+2-100)</f>
        <v>-102</v>
      </c>
      <c r="L22" s="15">
        <f>(E22-D22)/10*1.02</f>
        <v>4.9980000000000002</v>
      </c>
      <c r="M22" s="15">
        <f>(COS(I22*3.14/200))*L22</f>
        <v>-0.15293328357186187</v>
      </c>
      <c r="O22" s="16" t="e">
        <f>(SIN(F22*3.14/200))*M22+O21</f>
        <v>#VALUE!</v>
      </c>
      <c r="P22" s="8" t="e">
        <f>(COS(F22*3.14/200))*M22+P21</f>
        <v>#VALUE!</v>
      </c>
      <c r="Q22" s="16">
        <f>SIN(J22*3.14/200)*L22+Q21</f>
        <v>-259.19565965722006</v>
      </c>
      <c r="R22" s="11" t="s">
        <v>2</v>
      </c>
      <c r="S22" s="11" t="s">
        <v>2</v>
      </c>
      <c r="T22" s="14" t="s">
        <v>2</v>
      </c>
    </row>
    <row r="23" spans="1:256">
      <c r="A23" s="15">
        <f>B22</f>
        <v>110</v>
      </c>
      <c r="B23" s="15">
        <f>A23+1</f>
        <v>111</v>
      </c>
      <c r="D23" s="15">
        <f>E22</f>
        <v>5669</v>
      </c>
      <c r="E23" s="15">
        <v>5744</v>
      </c>
      <c r="F23" s="15">
        <v>10</v>
      </c>
      <c r="G23" s="15">
        <v>118</v>
      </c>
      <c r="I23" s="15">
        <f>ABS(G23+2-100)</f>
        <v>20</v>
      </c>
      <c r="J23" s="15">
        <f>-(G23+2-100)</f>
        <v>-20</v>
      </c>
      <c r="L23" s="15">
        <f>(E23-D23)/10*1.02</f>
        <v>7.65</v>
      </c>
      <c r="M23" s="15">
        <f>(COS(I23*3.14/200))*L23</f>
        <v>7.2759587575065368</v>
      </c>
      <c r="O23" s="16" t="e">
        <f>(SIN(F23*3.14/200))*M23+O22</f>
        <v>#VALUE!</v>
      </c>
      <c r="P23" s="8" t="e">
        <f>(COS(F23*3.14/200))*M23+P22</f>
        <v>#VALUE!</v>
      </c>
      <c r="Q23" s="16">
        <f>SIN(J23*3.14/200)*L23+Q22</f>
        <v>-261.55848088597691</v>
      </c>
      <c r="R23" s="11" t="s">
        <v>2</v>
      </c>
      <c r="S23" s="11" t="s">
        <v>2</v>
      </c>
      <c r="T23" s="14" t="s">
        <v>31</v>
      </c>
    </row>
    <row r="24" spans="1:256">
      <c r="A24" s="15">
        <f>B23</f>
        <v>111</v>
      </c>
      <c r="B24" s="15">
        <f>A24+1</f>
        <v>112</v>
      </c>
      <c r="D24" s="15">
        <f>E23</f>
        <v>5744</v>
      </c>
      <c r="E24" s="15">
        <v>5821</v>
      </c>
      <c r="F24" s="15">
        <v>387</v>
      </c>
      <c r="G24" s="15">
        <v>122</v>
      </c>
      <c r="I24" s="15">
        <f>ABS(G24+2-100)</f>
        <v>24</v>
      </c>
      <c r="J24" s="15">
        <f>-(G24+2-100)</f>
        <v>-24</v>
      </c>
      <c r="L24" s="15">
        <f>(E24-D24)/10*1.02</f>
        <v>7.8540000000000001</v>
      </c>
      <c r="M24" s="15">
        <f>(COS(I24*3.14/200))*L24</f>
        <v>7.3030169580053572</v>
      </c>
      <c r="O24" s="16" t="e">
        <f>(SIN(F24*3.14/200))*M24+O23</f>
        <v>#VALUE!</v>
      </c>
      <c r="P24" s="8" t="e">
        <f>(COS(F24*3.14/200))*M24+P23</f>
        <v>#VALUE!</v>
      </c>
      <c r="Q24" s="16">
        <f>SIN(J24*3.14/200)*L24+Q23</f>
        <v>-264.44833543440768</v>
      </c>
      <c r="R24" s="10">
        <v>1.5</v>
      </c>
      <c r="S24" s="10">
        <v>1.5</v>
      </c>
      <c r="T24" s="13" t="s">
        <v>32</v>
      </c>
    </row>
    <row r="25" spans="1:256">
      <c r="A25" s="15">
        <f>B24</f>
        <v>112</v>
      </c>
      <c r="B25" s="15">
        <f>A25+1</f>
        <v>113</v>
      </c>
      <c r="D25" s="15">
        <f>E24</f>
        <v>5821</v>
      </c>
      <c r="E25" s="15">
        <v>5902</v>
      </c>
      <c r="F25" s="15">
        <v>332</v>
      </c>
      <c r="G25" s="15">
        <v>123</v>
      </c>
      <c r="I25" s="15">
        <f>ABS(G25+2-100)</f>
        <v>25</v>
      </c>
      <c r="J25" s="15">
        <f>-(G25+2-100)</f>
        <v>-25</v>
      </c>
      <c r="L25" s="15">
        <f>(E25-D25)/10*1.02</f>
        <v>8.2620000000000005</v>
      </c>
      <c r="M25" s="15">
        <f>(COS(I25*3.14/200))*L25</f>
        <v>7.6337219890233889</v>
      </c>
      <c r="O25" s="16" t="e">
        <f>(SIN(F25*3.14/200))*M25+O24</f>
        <v>#VALUE!</v>
      </c>
      <c r="P25" s="8" t="e">
        <f>(COS(F25*3.14/200))*M25+P24</f>
        <v>#VALUE!</v>
      </c>
      <c r="Q25" s="16">
        <f>SIN(J25*3.14/200)*L25+Q24</f>
        <v>-267.60854628090209</v>
      </c>
      <c r="R25" s="11" t="s">
        <v>2</v>
      </c>
      <c r="S25" s="10">
        <v>3</v>
      </c>
      <c r="T25" s="13" t="s">
        <v>33</v>
      </c>
    </row>
    <row r="26" spans="1:256">
      <c r="A26" s="15">
        <f>B25</f>
        <v>113</v>
      </c>
      <c r="B26" s="15">
        <f>A26+1</f>
        <v>114</v>
      </c>
      <c r="D26" s="15">
        <f>E25</f>
        <v>5902</v>
      </c>
      <c r="E26" s="15">
        <v>5961</v>
      </c>
      <c r="F26" s="15">
        <v>0</v>
      </c>
      <c r="G26" s="15">
        <v>133</v>
      </c>
      <c r="I26" s="15">
        <f>ABS(G26+2-100)</f>
        <v>35</v>
      </c>
      <c r="J26" s="15">
        <f>-(G26+2-100)</f>
        <v>-35</v>
      </c>
      <c r="L26" s="15">
        <f>(E26-D26)/10*1.02</f>
        <v>6.0180000000000007</v>
      </c>
      <c r="M26" s="15">
        <f>(COS(I26*3.14/200))*L26</f>
        <v>5.1320646982488682</v>
      </c>
      <c r="O26" s="16" t="e">
        <f>(SIN(F26*3.14/200))*M26+O25</f>
        <v>#VALUE!</v>
      </c>
      <c r="P26" s="8" t="e">
        <f>(COS(F26*3.14/200))*M26+P25</f>
        <v>#VALUE!</v>
      </c>
      <c r="Q26" s="16">
        <f>SIN(J26*3.14/200)*L26+Q25</f>
        <v>-270.75151238523534</v>
      </c>
      <c r="R26" s="11" t="s">
        <v>2</v>
      </c>
      <c r="S26" s="11" t="s">
        <v>2</v>
      </c>
      <c r="T26" s="14" t="s">
        <v>2</v>
      </c>
    </row>
  </sheetData>
  <printOptions headings="1"/>
  <pageMargins left="1" right="1" top="1" bottom="1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Tonnerre de Brest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2021-07-04T20:26:28Z</dcterms:created>
  <dcterms:modified xsi:type="dcterms:W3CDTF">2021-07-04T20:26:29Z</dcterms:modified>
</cp:coreProperties>
</file>